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<sst xmlns="http://schemas.openxmlformats.org/spreadsheetml/2006/main" count="40" uniqueCount="34">
  <si>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</si>
  <si>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</si>
  <si>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</si>
  <si>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</si>
  <si>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</si>
  <si>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</si>
  <si>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</si>
  <si>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</si>
  <si>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</si>
  <si>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</si>
  <si>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</si>
  <si>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</si>
  <si>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</si>
  <si>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</si>
  <si>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</si>
  <si>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</si>
  <si>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</si>
  <si>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</si>
  <si>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</si>
  <si>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</si>
  <si>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</si>
  <si>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</si>
  <si>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</si>
  <si>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</si>
  <si>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</si>
  <si>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</si>
  <si>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removed branchless on rayattacks</t>
  </si>
  <si>
    <t xml:space="preserve">replaced pool vector with pool array (no board and opposite caching)</t>
  </si>
  <si>
    <t xml:space="preserve">(5932 with board and opposite caching)</t>
  </si>
  <si>
    <t xml:space="preserve">moves cache array</t>
  </si>
  <si>
    <t xml:space="preserve">removed moves calculation from board class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</si>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</sst>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8"/>
  <sheetViews>
    <sheetView showFormulas="false" showGridLines="true" showRowColHeaders="true" showZeros="true" rightToLeft="false" tabSelected="true" showOutlineSymbols="true" defaultGridColor="true" view="normal" topLeftCell="A34" colorId="64" zoomScale="100" zoomScaleNormal="100" zoomScalePageLayoutView="100" workbookViewId="0">
      <selection pane="topLeft" activeCell="F77" activeCellId="0" sqref="F77"/>
    </sheetView>
  </sheetViews>
  <sheetFormatPr defaultColWidth="16.1484375" defaultRowHeight="15" customHeight="true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  <c r="R60" s="2"/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  <c r="R61" s="2"/>
    </row>
    <row r="63" customFormat="false" ht="15" hidden="false" customHeight="false" outlineLevel="0" collapsed="false">
      <c r="A63" s="16" t="n">
        <v>45606</v>
      </c>
      <c r="B63" s="17"/>
      <c r="C63" s="18" t="n">
        <v>4</v>
      </c>
      <c r="D63" s="19" t="n">
        <v>206603</v>
      </c>
      <c r="E63" s="20" t="n">
        <v>357</v>
      </c>
      <c r="F63" s="19" t="n">
        <f aca="false">D63/E63*1000</f>
        <v>578719.887955182</v>
      </c>
      <c r="G63" s="35" t="n">
        <f aca="false">(E59-E63)/E59</f>
        <v>0.154028436018957</v>
      </c>
      <c r="H63" s="22" t="n">
        <f aca="false">(F63-80000000)/80000000</f>
        <v>-0.99276600140056</v>
      </c>
      <c r="I63" s="3" t="n">
        <v>4</v>
      </c>
      <c r="J63" s="19" t="n">
        <v>197281</v>
      </c>
      <c r="K63" s="3" t="n">
        <v>9</v>
      </c>
      <c r="L63" s="19" t="n">
        <f aca="false">J63/K63*1000</f>
        <v>21920111.1111111</v>
      </c>
      <c r="M63" s="35" t="n">
        <f aca="false">(K59-K63)/K59</f>
        <v>0.181818181818182</v>
      </c>
      <c r="N63" s="22" t="n">
        <f aca="false">(L63-80000000)/80000000</f>
        <v>-0.725998611111111</v>
      </c>
      <c r="P63" s="7" t="s">
        <v>26</v>
      </c>
    </row>
    <row r="64" customFormat="false" ht="15" hidden="false" customHeight="false" outlineLevel="0" collapsed="false">
      <c r="C64" s="2" t="n">
        <v>5</v>
      </c>
      <c r="D64" s="2" t="n">
        <v>5072212</v>
      </c>
      <c r="E64" s="2" t="n">
        <v>9165</v>
      </c>
      <c r="F64" s="12" t="n">
        <f aca="false">D64/E64*1000</f>
        <v>553432.84233497</v>
      </c>
      <c r="G64" s="23" t="n">
        <f aca="false">(E60-E64)/E60</f>
        <v>0.107855543658133</v>
      </c>
      <c r="H64" s="14" t="n">
        <f aca="false">(F64-80000000)/80000000</f>
        <v>-0.993082089470813</v>
      </c>
      <c r="I64" s="2" t="n">
        <v>5</v>
      </c>
      <c r="J64" s="12" t="n">
        <v>4880523</v>
      </c>
      <c r="K64" s="2" t="n">
        <v>221</v>
      </c>
      <c r="L64" s="12" t="n">
        <f aca="false">J64/K64*1000</f>
        <v>22083814.479638</v>
      </c>
      <c r="M64" s="23" t="n">
        <f aca="false">(K60-K64)/K60</f>
        <v>0.243150684931507</v>
      </c>
      <c r="N64" s="14" t="n">
        <f aca="false">(L64-80000000)/80000000</f>
        <v>-0.723952319004525</v>
      </c>
    </row>
    <row r="65" customFormat="false" ht="15" hidden="false" customHeight="false" outlineLevel="0" collapsed="false">
      <c r="I65" s="2" t="n">
        <v>6</v>
      </c>
      <c r="J65" s="12" t="n">
        <v>119060324</v>
      </c>
      <c r="K65" s="2" t="n">
        <v>5889</v>
      </c>
      <c r="L65" s="12" t="n">
        <f aca="false">J65/K65*1000</f>
        <v>20217409.4073697</v>
      </c>
      <c r="M65" s="23" t="n">
        <f aca="false">(K61-K65)/K61</f>
        <v>0.163731894348197</v>
      </c>
      <c r="N65" s="14" t="n">
        <f aca="false">(L65-80000000)/80000000</f>
        <v>-0.747282382407879</v>
      </c>
    </row>
    <row r="67" customFormat="false" ht="15" hidden="false" customHeight="false" outlineLevel="0" collapsed="false">
      <c r="A67" s="16" t="n">
        <v>45862</v>
      </c>
      <c r="B67" s="17"/>
      <c r="C67" s="18" t="n">
        <v>4</v>
      </c>
      <c r="D67" s="19" t="n">
        <v>206603</v>
      </c>
      <c r="E67" s="20" t="n">
        <v>274</v>
      </c>
      <c r="F67" s="19" t="n">
        <f aca="false">D67/E67*1000</f>
        <v>754025.547445255</v>
      </c>
      <c r="G67" s="35" t="n">
        <f aca="false">(E63-E67)/E63</f>
        <v>0.23249299719888</v>
      </c>
      <c r="H67" s="22" t="n">
        <f aca="false">(F67-80000000)/80000000</f>
        <v>-0.990574680656934</v>
      </c>
      <c r="I67" s="3" t="n">
        <v>4</v>
      </c>
      <c r="J67" s="19" t="n">
        <v>197281</v>
      </c>
      <c r="K67" s="3" t="n">
        <v>9</v>
      </c>
      <c r="L67" s="19" t="n">
        <f aca="false">J67/K67*1000</f>
        <v>21920111.1111111</v>
      </c>
      <c r="M67" s="35" t="n">
        <f aca="false">(K63-K67)/K63</f>
        <v>0</v>
      </c>
      <c r="N67" s="22" t="n">
        <f aca="false">(L67-80000000)/80000000</f>
        <v>-0.725998611111111</v>
      </c>
      <c r="P67" s="2" t="s">
        <v>27</v>
      </c>
    </row>
    <row r="68" customFormat="false" ht="15" hidden="false" customHeight="false" outlineLevel="0" collapsed="false">
      <c r="C68" s="2" t="n">
        <v>5</v>
      </c>
      <c r="D68" s="2" t="n">
        <v>5072212</v>
      </c>
      <c r="E68" s="2" t="n">
        <v>7448</v>
      </c>
      <c r="F68" s="12" t="n">
        <f aca="false">D68/E68*1000</f>
        <v>681016.648764769</v>
      </c>
      <c r="G68" s="23" t="n">
        <f aca="false">(E64-E68)/E64</f>
        <v>0.1873431533006</v>
      </c>
      <c r="H68" s="14" t="n">
        <f aca="false">(F68-80000000)/80000000</f>
        <v>-0.99148729189044</v>
      </c>
      <c r="I68" s="2" t="n">
        <v>5</v>
      </c>
      <c r="J68" s="12" t="n">
        <v>4880523</v>
      </c>
      <c r="K68" s="2" t="n">
        <v>223</v>
      </c>
      <c r="L68" s="12" t="n">
        <f aca="false">J68/K68*1000</f>
        <v>21885753.3632287</v>
      </c>
      <c r="M68" s="14" t="n">
        <f aca="false">(K64-K68)/K64</f>
        <v>-0.00904977375565611</v>
      </c>
      <c r="N68" s="14" t="n">
        <f aca="false">(L68-80000000)/80000000</f>
        <v>-0.726428082959641</v>
      </c>
    </row>
    <row r="69" customFormat="false" ht="15" hidden="false" customHeight="false" outlineLevel="0" collapsed="false">
      <c r="I69" s="2" t="n">
        <v>6</v>
      </c>
      <c r="J69" s="12" t="n">
        <v>119060324</v>
      </c>
      <c r="K69" s="2" t="n">
        <v>5953</v>
      </c>
      <c r="L69" s="12" t="n">
        <f aca="false">J69/K69*1000</f>
        <v>20000054.4263397</v>
      </c>
      <c r="M69" s="14" t="n">
        <f aca="false">(K65-K69)/K65</f>
        <v>-0.010867719476991</v>
      </c>
      <c r="N69" s="14" t="n">
        <f aca="false">(L69-80000000)/80000000</f>
        <v>-0.749999319670754</v>
      </c>
      <c r="P69" s="2" t="s">
        <v>28</v>
      </c>
    </row>
    <row r="71" customFormat="false" ht="15" hidden="false" customHeight="true" outlineLevel="0" collapsed="false">
      <c r="A71" s="26" t="n">
        <v>45873</v>
      </c>
      <c r="B71" s="27"/>
      <c r="C71" s="28" t="n">
        <v>4</v>
      </c>
      <c r="D71" s="29" t="n">
        <v>206603</v>
      </c>
      <c r="E71" s="30" t="n">
        <v>280</v>
      </c>
      <c r="F71" s="29" t="n">
        <f aca="false">D71/E71*1000</f>
        <v>737867.857142857</v>
      </c>
      <c r="G71" s="24" t="n">
        <f aca="false">(E67-E71)/E67</f>
        <v>-0.0218978102189781</v>
      </c>
      <c r="H71" s="22" t="n">
        <f aca="false">(F71-80000000)/80000000</f>
        <v>-0.990776651785714</v>
      </c>
      <c r="I71" s="31" t="n">
        <v>4</v>
      </c>
      <c r="J71" s="29" t="n">
        <v>197281</v>
      </c>
      <c r="K71" s="31" t="n">
        <v>13</v>
      </c>
      <c r="L71" s="29" t="n">
        <f aca="false">J71/K71*1000</f>
        <v>15175461.5384615</v>
      </c>
      <c r="M71" s="22" t="n">
        <f aca="false">(K67-K71)/K67</f>
        <v>-0.444444444444444</v>
      </c>
      <c r="N71" s="22" t="n">
        <f aca="false">(L71-80000000)/80000000</f>
        <v>-0.810306730769231</v>
      </c>
      <c r="P71" s="32" t="s">
        <v>29</v>
      </c>
    </row>
    <row r="72" customFormat="false" ht="15" hidden="false" customHeight="true" outlineLevel="0" collapsed="false">
      <c r="A72" s="32"/>
      <c r="B72" s="33"/>
      <c r="C72" s="32" t="n">
        <v>5</v>
      </c>
      <c r="D72" s="32" t="n">
        <v>5072212</v>
      </c>
      <c r="E72" s="32" t="n">
        <v>6070</v>
      </c>
      <c r="F72" s="34" t="n">
        <f aca="false">D72/E72*1000</f>
        <v>835619.769357496</v>
      </c>
      <c r="G72" s="23" t="n">
        <f aca="false">(E68-E72)/E68</f>
        <v>0.185016111707841</v>
      </c>
      <c r="H72" s="14" t="n">
        <f aca="false">(F72-80000000)/80000000</f>
        <v>-0.989554752883031</v>
      </c>
      <c r="I72" s="32" t="n">
        <v>5</v>
      </c>
      <c r="J72" s="34" t="n">
        <v>4880523</v>
      </c>
      <c r="K72" s="32" t="n">
        <v>229</v>
      </c>
      <c r="L72" s="34" t="n">
        <f aca="false">J72/K72*1000</f>
        <v>21312327.510917</v>
      </c>
      <c r="M72" s="14" t="n">
        <f aca="false">(K68-K72)/K68</f>
        <v>-0.0269058295964126</v>
      </c>
      <c r="N72" s="14" t="n">
        <f aca="false">(L72-80000000)/80000000</f>
        <v>-0.733595906113537</v>
      </c>
    </row>
    <row r="73" customFormat="false" ht="15" hidden="false" customHeight="true" outlineLevel="0" collapsed="false">
      <c r="A73" s="32"/>
      <c r="B73" s="33"/>
      <c r="C73" s="32"/>
      <c r="D73" s="32"/>
      <c r="E73" s="32"/>
      <c r="F73" s="32"/>
      <c r="G73" s="32"/>
      <c r="H73" s="33"/>
      <c r="I73" s="32" t="n">
        <v>6</v>
      </c>
      <c r="J73" s="34" t="n">
        <v>119060324</v>
      </c>
      <c r="K73" s="32" t="n">
        <v>4920</v>
      </c>
      <c r="L73" s="34" t="n">
        <f aca="false">J73/K73*1000</f>
        <v>24199252.8455285</v>
      </c>
      <c r="M73" s="23" t="n">
        <f aca="false">(K69-K73)/K69</f>
        <v>0.173525953300857</v>
      </c>
      <c r="N73" s="14" t="n">
        <f aca="false">(L73-80000000)/80000000</f>
        <v>-0.697509339430894</v>
      </c>
    </row>
    <row r="74" customFormat="false" ht="15" hidden="false" customHeight="true" outlineLevel="0" collapsed="false">
      <c r="A74" s="32"/>
      <c r="B74" s="33"/>
      <c r="C74" s="32"/>
      <c r="D74" s="32"/>
      <c r="E74" s="32"/>
      <c r="F74" s="32"/>
      <c r="G74" s="32"/>
      <c r="H74" s="33"/>
      <c r="I74" s="32" t="n">
        <v>7</v>
      </c>
      <c r="J74" s="34" t="n">
        <v>3195901860</v>
      </c>
      <c r="K74" s="32" t="n">
        <v>110737</v>
      </c>
      <c r="L74" s="34" t="n">
        <f aca="false">J74/K74*1000</f>
        <v>28860289.3341882</v>
      </c>
      <c r="M74" s="32"/>
      <c r="N74" s="25" t="n">
        <f aca="false">(L74-80000000)/80000000</f>
        <v>-0.639246383322647</v>
      </c>
    </row>
    <row r="76" customFormat="false" ht="15" hidden="false" customHeight="true" outlineLevel="0" collapsed="false">
      <c r="A76" s="16" t="n">
        <v>45956</v>
      </c>
      <c r="B76" s="17"/>
      <c r="C76" s="18" t="n">
        <v>4</v>
      </c>
      <c r="D76" s="19" t="n">
        <v>206603</v>
      </c>
      <c r="E76" s="20" t="n">
        <v>275</v>
      </c>
      <c r="F76" s="19" t="n">
        <f aca="false">D76/E76*1000</f>
        <v>751283.636363636</v>
      </c>
      <c r="G76" s="22" t="n">
        <f aca="false">(E67-E76)/E67</f>
        <v>-0.00364963503649635</v>
      </c>
      <c r="H76" s="22" t="n">
        <f aca="false">(F76-80000000)/80000000</f>
        <v>-0.990608954545455</v>
      </c>
      <c r="I76" s="3" t="n">
        <v>4</v>
      </c>
      <c r="J76" s="19" t="n">
        <v>197281</v>
      </c>
      <c r="K76" s="3" t="n">
        <v>9</v>
      </c>
      <c r="L76" s="19" t="n">
        <f aca="false">J76/K76*1000</f>
        <v>21920111.1111111</v>
      </c>
      <c r="M76" s="35" t="n">
        <f aca="false">(K67-K76)/K67</f>
        <v>0</v>
      </c>
      <c r="N76" s="22" t="n">
        <f aca="false">(L76-80000000)/80000000</f>
        <v>-0.725998611111111</v>
      </c>
      <c r="P76" s="0" t="s">
        <v>30</v>
      </c>
    </row>
    <row r="77" customFormat="false" ht="15" hidden="false" customHeight="true" outlineLevel="0" collapsed="false">
      <c r="C77" s="2" t="n">
        <v>5</v>
      </c>
      <c r="D77" s="2" t="n">
        <v>5072212</v>
      </c>
      <c r="E77" s="2" t="n">
        <v>7015</v>
      </c>
      <c r="F77" s="12" t="n">
        <f aca="false">D77/E77*1000</f>
        <v>723052.316464719</v>
      </c>
      <c r="G77" s="23" t="n">
        <f aca="false">(E68-E77)/E68</f>
        <v>0.0581364124597207</v>
      </c>
      <c r="H77" s="14" t="n">
        <f aca="false">(F77-80000000)/80000000</f>
        <v>-0.990961846044191</v>
      </c>
      <c r="I77" s="2" t="n">
        <v>5</v>
      </c>
      <c r="J77" s="12" t="n">
        <v>4880523</v>
      </c>
      <c r="K77" s="2" t="n">
        <v>230</v>
      </c>
      <c r="L77" s="12" t="n">
        <f aca="false">J77/K77*1000</f>
        <v>21219665.2173913</v>
      </c>
      <c r="M77" s="14" t="n">
        <f aca="false">(K68-K77)/K68</f>
        <v>-0.031390134529148</v>
      </c>
      <c r="N77" s="14" t="n">
        <f aca="false">(L77-80000000)/80000000</f>
        <v>-0.734754184782609</v>
      </c>
    </row>
    <row r="78" customFormat="false" ht="15" hidden="false" customHeight="true" outlineLevel="0" collapsed="false">
      <c r="I78" s="2" t="n">
        <v>6</v>
      </c>
      <c r="J78" s="12" t="n">
        <v>119060324</v>
      </c>
      <c r="K78" s="2" t="n">
        <v>5862</v>
      </c>
      <c r="L78" s="12" t="n">
        <f aca="false">J78/K78*1000</f>
        <v>20310529.5121119</v>
      </c>
      <c r="M78" s="37" t="n">
        <f aca="false">(K69-K78)/K69</f>
        <v>0.0152864102133378</v>
      </c>
      <c r="N78" s="14" t="n">
        <f aca="false">(L78-80000000)/80000000</f>
        <v>-0.746118381098601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484375" defaultRowHeight="15" customHeight="true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8" t="n">
        <v>45393</v>
      </c>
      <c r="B1" s="7" t="s">
        <v>31</v>
      </c>
      <c r="C1" s="7" t="s">
        <v>32</v>
      </c>
      <c r="D1" s="7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703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2025-10-26T22:55:31Z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