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<sst xmlns="http://schemas.openxmlformats.org/spreadsheetml/2006/main" count="50" uniqueCount="44">
  <si>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</si>
  <si>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</si>
  <si>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</si>
  <si>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</si>
  <si>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</si>
  <si>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</si>
  <si>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</si>
  <si>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</si>
  <si>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</si>
  <si>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</si>
  <si>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</si>
  <si>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</si>
  <si>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</si>
  <si>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</si>
  <si>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</si>
  <si>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</si>
  <si>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</si>
  <si>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</si>
  <si>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</si>
  <si>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</si>
  <si>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</si>
  <si>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</si>
  <si>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moved castling to board</t>
  </si>
  <si>
    <t xml:space="preserve">optimized rollback management</t>
  </si>
  <si>
    <t xml:space="preserve">pawn attacks optimization</t>
  </si>
  <si>
    <t xml:space="preserve">board and opposite caching</t>
  </si>
  <si>
    <t xml:space="preserve">removed branchless on rayattacks</t>
  </si>
  <si>
    <t xml:space="preserve">replaced pool vector with pool array (no board and opposite caching)</t>
  </si>
  <si>
    <t xml:space="preserve">(5932 with board and opposite caching)</t>
  </si>
  <si>
    <t xml:space="preserve">moves cache array</t>
  </si>
  <si>
    <t xml:space="preserve">removed moves calculation from board class</t>
  </si>
  <si>
    <t xml:space="preserve">added functions map for destination calculation</t>
  </si>
  <si>
    <t xml:space="preserve">added pawn attacks functional maps</t>
  </si>
  <si>
    <t xml:space="preserve">replaced unsigned char with unsigned int</t>
  </si>
  <si>
    <t xml:space="preserve">avoided obvious ray attacks calculation on move validation</t>
  </si>
  <si>
    <t xml:space="preserve">avoided obvious ray attacks calculation on verify checks</t>
  </si>
  <si>
    <t xml:space="preserve">fedora to debian mint</t>
  </si>
  <si>
    <t xml:space="preserve">changed board representation to the classic Little-Endian Rank-File Mapping</t>
  </si>
  <si>
    <t xml:space="preserve">downgrade to 32GB of RAM with minor performance</t>
  </si>
  <si>
    <t xml:space="preserve">Replaced cache with transposition table with Zobrist key</t>
  </si>
  <si>
    <t xml:space="preserve">added transposition table definitely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</si>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</sst>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7"/>
  <sheetViews>
    <sheetView showFormulas="false" showGridLines="true" showRowColHeaders="true" showZeros="true" rightToLeft="false" tabSelected="true" showOutlineSymbols="true" defaultGridColor="true" view="normal" topLeftCell="A65" colorId="64" zoomScale="100" zoomScaleNormal="100" zoomScalePageLayoutView="100" workbookViewId="0">
      <selection pane="topLeft" activeCell="M109" activeCellId="0" sqref="M109"/>
    </sheetView>
  </sheetViews>
  <sheetFormatPr defaultColWidth="16.15234375" defaultRowHeight="15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  <row r="47" customFormat="false" ht="15" hidden="false" customHeight="false" outlineLevel="0" collapsed="false">
      <c r="A47" s="16" t="n">
        <v>45584</v>
      </c>
      <c r="B47" s="17"/>
      <c r="C47" s="18" t="n">
        <v>4</v>
      </c>
      <c r="D47" s="19" t="n">
        <v>206603</v>
      </c>
      <c r="E47" s="20" t="n">
        <v>493</v>
      </c>
      <c r="F47" s="19" t="n">
        <f aca="false">D47/E47*1000</f>
        <v>419073.022312373</v>
      </c>
      <c r="G47" s="35" t="n">
        <f aca="false">(E43-E47)/E43</f>
        <v>0.0427184466019418</v>
      </c>
      <c r="H47" s="22" t="n">
        <f aca="false">(F47-80000000)/80000000</f>
        <v>-0.994761587221095</v>
      </c>
      <c r="I47" s="3" t="n">
        <v>4</v>
      </c>
      <c r="J47" s="19" t="n">
        <v>197281</v>
      </c>
      <c r="K47" s="3" t="n">
        <v>14</v>
      </c>
      <c r="L47" s="19" t="n">
        <f aca="false">J47/K47*1000</f>
        <v>14091500</v>
      </c>
      <c r="M47" s="35" t="n">
        <f aca="false">(K43-K47)/K43</f>
        <v>0.0666666666666667</v>
      </c>
      <c r="N47" s="22" t="n">
        <f aca="false">(L47-80000000)/80000000</f>
        <v>-0.82385625</v>
      </c>
      <c r="P47" s="7" t="s">
        <v>22</v>
      </c>
    </row>
    <row r="48" customFormat="false" ht="15" hidden="false" customHeight="false" outlineLevel="0" collapsed="false">
      <c r="C48" s="2" t="n">
        <v>5</v>
      </c>
      <c r="D48" s="2" t="n">
        <v>5072212</v>
      </c>
      <c r="E48" s="2" t="n">
        <v>12183</v>
      </c>
      <c r="F48" s="12" t="n">
        <f aca="false">D48/E48*1000</f>
        <v>416335.221209883</v>
      </c>
      <c r="G48" s="23" t="n">
        <f aca="false">(E44-E48)/E44</f>
        <v>0.047309978104473</v>
      </c>
      <c r="H48" s="14" t="n">
        <f aca="false">(F48-80000000)/80000000</f>
        <v>-0.994795809734877</v>
      </c>
      <c r="I48" s="2" t="n">
        <v>5</v>
      </c>
      <c r="J48" s="12" t="n">
        <v>4880523</v>
      </c>
      <c r="K48" s="2" t="n">
        <v>363</v>
      </c>
      <c r="L48" s="12" t="n">
        <f aca="false">J48/K48*1000</f>
        <v>13444966.9421488</v>
      </c>
      <c r="M48" s="23" t="n">
        <f aca="false">(K44-K48)/K44</f>
        <v>0.0422163588390501</v>
      </c>
      <c r="N48" s="14" t="n">
        <f aca="false">(L48-80000000)/80000000</f>
        <v>-0.831937913223141</v>
      </c>
    </row>
    <row r="49" customFormat="false" ht="15" hidden="false" customHeight="false" outlineLevel="0" collapsed="false">
      <c r="I49" s="2" t="n">
        <v>6</v>
      </c>
      <c r="J49" s="12" t="n">
        <v>119060324</v>
      </c>
      <c r="K49" s="2" t="n">
        <v>8957</v>
      </c>
      <c r="L49" s="12" t="n">
        <f aca="false">J49/K49*1000</f>
        <v>13292433.1807525</v>
      </c>
      <c r="M49" s="23" t="n">
        <f aca="false">(K45-K49)/K45</f>
        <v>0.0429533069772412</v>
      </c>
      <c r="N49" s="14" t="n">
        <f aca="false">(L49-80000000)/80000000</f>
        <v>-0.833844585240594</v>
      </c>
    </row>
    <row r="51" customFormat="false" ht="15" hidden="false" customHeight="false" outlineLevel="0" collapsed="false">
      <c r="A51" s="16" t="n">
        <v>45590</v>
      </c>
      <c r="B51" s="17"/>
      <c r="C51" s="18" t="n">
        <v>4</v>
      </c>
      <c r="D51" s="19" t="n">
        <v>206603</v>
      </c>
      <c r="E51" s="20" t="n">
        <v>470</v>
      </c>
      <c r="F51" s="19" t="n">
        <f aca="false">D51/E51*1000</f>
        <v>439580.85106383</v>
      </c>
      <c r="G51" s="35" t="n">
        <f aca="false">(E47-E51)/E47</f>
        <v>0.0466531440162272</v>
      </c>
      <c r="H51" s="22" t="n">
        <f aca="false">(F51-80000000)/80000000</f>
        <v>-0.994505239361702</v>
      </c>
      <c r="I51" s="3" t="n">
        <v>4</v>
      </c>
      <c r="J51" s="19" t="n">
        <v>197281</v>
      </c>
      <c r="K51" s="3" t="n">
        <v>14</v>
      </c>
      <c r="L51" s="19" t="n">
        <f aca="false">J51/K51*1000</f>
        <v>14091500</v>
      </c>
      <c r="M51" s="35" t="n">
        <f aca="false">(K47-K51)/K47</f>
        <v>0</v>
      </c>
      <c r="N51" s="22" t="n">
        <f aca="false">(L51-80000000)/80000000</f>
        <v>-0.82385625</v>
      </c>
      <c r="P51" s="7" t="s">
        <v>23</v>
      </c>
    </row>
    <row r="52" customFormat="false" ht="15" hidden="false" customHeight="false" outlineLevel="0" collapsed="false">
      <c r="C52" s="2" t="n">
        <v>5</v>
      </c>
      <c r="D52" s="2" t="n">
        <v>5072212</v>
      </c>
      <c r="E52" s="2" t="n">
        <v>11779</v>
      </c>
      <c r="F52" s="12" t="n">
        <f aca="false">D52/E52*1000</f>
        <v>430614.822990067</v>
      </c>
      <c r="G52" s="23" t="n">
        <f aca="false">(E48-E52)/E48</f>
        <v>0.0331609619962242</v>
      </c>
      <c r="H52" s="14" t="n">
        <f aca="false">(F52-80000000)/80000000</f>
        <v>-0.994617314712624</v>
      </c>
      <c r="I52" s="2" t="n">
        <v>5</v>
      </c>
      <c r="J52" s="12" t="n">
        <v>4880523</v>
      </c>
      <c r="K52" s="2" t="n">
        <v>339</v>
      </c>
      <c r="L52" s="12" t="n">
        <f aca="false">J52/K52*1000</f>
        <v>14396823.0088496</v>
      </c>
      <c r="M52" s="23" t="n">
        <f aca="false">(K48-K52)/K48</f>
        <v>0.0661157024793388</v>
      </c>
      <c r="N52" s="14" t="n">
        <f aca="false">(L52-80000000)/80000000</f>
        <v>-0.82003971238938</v>
      </c>
    </row>
    <row r="53" customFormat="false" ht="15" hidden="false" customHeight="false" outlineLevel="0" collapsed="false">
      <c r="I53" s="2" t="n">
        <v>6</v>
      </c>
      <c r="J53" s="12" t="n">
        <v>119060324</v>
      </c>
      <c r="K53" s="2" t="n">
        <v>8589</v>
      </c>
      <c r="L53" s="12" t="n">
        <f aca="false">J53/K53*1000</f>
        <v>13861954.1273722</v>
      </c>
      <c r="M53" s="23" t="n">
        <f aca="false">(K49-K53)/K49</f>
        <v>0.041085184771687</v>
      </c>
      <c r="N53" s="14" t="n">
        <f aca="false">(L53-80000000)/80000000</f>
        <v>-0.826725573407847</v>
      </c>
    </row>
    <row r="55" customFormat="false" ht="15" hidden="false" customHeight="false" outlineLevel="0" collapsed="false">
      <c r="A55" s="16" t="n">
        <v>45590</v>
      </c>
      <c r="B55" s="17"/>
      <c r="C55" s="18" t="n">
        <v>4</v>
      </c>
      <c r="D55" s="19" t="n">
        <v>206603</v>
      </c>
      <c r="E55" s="20" t="n">
        <v>429</v>
      </c>
      <c r="F55" s="19" t="n">
        <f aca="false">D55/E55*1000</f>
        <v>481592.074592075</v>
      </c>
      <c r="G55" s="35" t="n">
        <f aca="false">(E51-E55)/E51</f>
        <v>0.0872340425531915</v>
      </c>
      <c r="H55" s="22" t="n">
        <f aca="false">(F55-80000000)/80000000</f>
        <v>-0.993980099067599</v>
      </c>
      <c r="I55" s="3" t="n">
        <v>4</v>
      </c>
      <c r="J55" s="19" t="n">
        <v>197281</v>
      </c>
      <c r="K55" s="3" t="n">
        <v>12</v>
      </c>
      <c r="L55" s="19" t="n">
        <f aca="false">J55/K55*1000</f>
        <v>16440083.3333333</v>
      </c>
      <c r="M55" s="35" t="n">
        <f aca="false">(K51-K55)/K51</f>
        <v>0.142857142857143</v>
      </c>
      <c r="N55" s="22" t="n">
        <f aca="false">(L55-80000000)/80000000</f>
        <v>-0.794498958333333</v>
      </c>
      <c r="P55" s="7" t="s">
        <v>24</v>
      </c>
    </row>
    <row r="56" customFormat="false" ht="15" hidden="false" customHeight="false" outlineLevel="0" collapsed="false">
      <c r="C56" s="2" t="n">
        <v>5</v>
      </c>
      <c r="D56" s="2" t="n">
        <v>5072212</v>
      </c>
      <c r="E56" s="2" t="n">
        <v>10588</v>
      </c>
      <c r="F56" s="12" t="n">
        <f aca="false">D56/E56*1000</f>
        <v>479052.890064224</v>
      </c>
      <c r="G56" s="23" t="n">
        <f aca="false">(E52-E56)/E52</f>
        <v>0.101112148739282</v>
      </c>
      <c r="H56" s="14" t="n">
        <f aca="false">(F56-80000000)/80000000</f>
        <v>-0.994011838874197</v>
      </c>
      <c r="I56" s="2" t="n">
        <v>5</v>
      </c>
      <c r="J56" s="12" t="n">
        <v>4880523</v>
      </c>
      <c r="K56" s="2" t="n">
        <v>294</v>
      </c>
      <c r="L56" s="12" t="n">
        <f aca="false">J56/K56*1000</f>
        <v>16600418.3673469</v>
      </c>
      <c r="M56" s="23" t="n">
        <f aca="false">(K52-K56)/K52</f>
        <v>0.132743362831858</v>
      </c>
      <c r="N56" s="14" t="n">
        <f aca="false">(L56-80000000)/80000000</f>
        <v>-0.792494770408163</v>
      </c>
    </row>
    <row r="57" customFormat="false" ht="15" hidden="false" customHeight="false" outlineLevel="0" collapsed="false">
      <c r="I57" s="2" t="n">
        <v>6</v>
      </c>
      <c r="J57" s="12" t="n">
        <v>119060324</v>
      </c>
      <c r="K57" s="2" t="n">
        <v>7334</v>
      </c>
      <c r="L57" s="12" t="n">
        <f aca="false">J57/K57*1000</f>
        <v>16234022.9070085</v>
      </c>
      <c r="M57" s="23" t="n">
        <f aca="false">(K53-K57)/K53</f>
        <v>0.146117126557224</v>
      </c>
      <c r="N57" s="14" t="n">
        <f aca="false">(L57-80000000)/80000000</f>
        <v>-0.797074713662394</v>
      </c>
    </row>
    <row r="59" customFormat="false" ht="15" hidden="false" customHeight="false" outlineLevel="0" collapsed="false">
      <c r="A59" s="16" t="n">
        <v>45590</v>
      </c>
      <c r="B59" s="17"/>
      <c r="C59" s="18" t="n">
        <v>4</v>
      </c>
      <c r="D59" s="19" t="n">
        <v>206603</v>
      </c>
      <c r="E59" s="20" t="n">
        <v>422</v>
      </c>
      <c r="F59" s="19" t="n">
        <f aca="false">D59/E59*1000</f>
        <v>489580.568720379</v>
      </c>
      <c r="G59" s="35" t="n">
        <f aca="false">(E55-E59)/E55</f>
        <v>0.0163170163170163</v>
      </c>
      <c r="H59" s="22" t="n">
        <f aca="false">(F59-80000000)/80000000</f>
        <v>-0.993880242890995</v>
      </c>
      <c r="I59" s="3" t="n">
        <v>4</v>
      </c>
      <c r="J59" s="19" t="n">
        <v>197281</v>
      </c>
      <c r="K59" s="3" t="n">
        <v>11</v>
      </c>
      <c r="L59" s="19" t="n">
        <f aca="false">J59/K59*1000</f>
        <v>17934636.3636364</v>
      </c>
      <c r="M59" s="35" t="n">
        <f aca="false">(K55-K59)/K55</f>
        <v>0.0833333333333333</v>
      </c>
      <c r="N59" s="22" t="n">
        <f aca="false">(L59-80000000)/80000000</f>
        <v>-0.775817045454546</v>
      </c>
      <c r="P59" s="7" t="s">
        <v>25</v>
      </c>
    </row>
    <row r="60" customFormat="false" ht="15" hidden="false" customHeight="false" outlineLevel="0" collapsed="false">
      <c r="C60" s="2" t="n">
        <v>5</v>
      </c>
      <c r="D60" s="2" t="n">
        <v>5072212</v>
      </c>
      <c r="E60" s="2" t="n">
        <v>10273</v>
      </c>
      <c r="F60" s="12" t="n">
        <f aca="false">D60/E60*1000</f>
        <v>493742.042246666</v>
      </c>
      <c r="G60" s="23" t="n">
        <f aca="false">(E56-E60)/E56</f>
        <v>0.0297506611258028</v>
      </c>
      <c r="H60" s="14" t="n">
        <f aca="false">(F60-80000000)/80000000</f>
        <v>-0.993828224471917</v>
      </c>
      <c r="I60" s="2" t="n">
        <v>5</v>
      </c>
      <c r="J60" s="12" t="n">
        <v>4880523</v>
      </c>
      <c r="K60" s="2" t="n">
        <v>292</v>
      </c>
      <c r="L60" s="12" t="n">
        <f aca="false">J60/K60*1000</f>
        <v>16714119.8630137</v>
      </c>
      <c r="M60" s="23" t="n">
        <f aca="false">(K56-K60)/K56</f>
        <v>0.00680272108843537</v>
      </c>
      <c r="N60" s="14" t="n">
        <f aca="false">(L60-80000000)/80000000</f>
        <v>-0.791073501712329</v>
      </c>
      <c r="R60" s="2"/>
    </row>
    <row r="61" customFormat="false" ht="15" hidden="false" customHeight="false" outlineLevel="0" collapsed="false">
      <c r="I61" s="2" t="n">
        <v>6</v>
      </c>
      <c r="J61" s="12" t="n">
        <v>119060324</v>
      </c>
      <c r="K61" s="2" t="n">
        <v>7042</v>
      </c>
      <c r="L61" s="12" t="n">
        <f aca="false">J61/K61*1000</f>
        <v>16907174.666288</v>
      </c>
      <c r="M61" s="23" t="n">
        <f aca="false">(K57-K61)/K57</f>
        <v>0.039814562312517</v>
      </c>
      <c r="N61" s="14" t="n">
        <f aca="false">(L61-80000000)/80000000</f>
        <v>-0.7886603166714</v>
      </c>
      <c r="R61" s="2"/>
    </row>
    <row r="63" customFormat="false" ht="15" hidden="false" customHeight="false" outlineLevel="0" collapsed="false">
      <c r="A63" s="16" t="n">
        <v>45606</v>
      </c>
      <c r="B63" s="17"/>
      <c r="C63" s="18" t="n">
        <v>4</v>
      </c>
      <c r="D63" s="19" t="n">
        <v>206603</v>
      </c>
      <c r="E63" s="20" t="n">
        <v>357</v>
      </c>
      <c r="F63" s="19" t="n">
        <f aca="false">D63/E63*1000</f>
        <v>578719.887955182</v>
      </c>
      <c r="G63" s="35" t="n">
        <f aca="false">(E59-E63)/E59</f>
        <v>0.154028436018957</v>
      </c>
      <c r="H63" s="22" t="n">
        <f aca="false">(F63-80000000)/80000000</f>
        <v>-0.99276600140056</v>
      </c>
      <c r="I63" s="3" t="n">
        <v>4</v>
      </c>
      <c r="J63" s="19" t="n">
        <v>197281</v>
      </c>
      <c r="K63" s="3" t="n">
        <v>9</v>
      </c>
      <c r="L63" s="19" t="n">
        <f aca="false">J63/K63*1000</f>
        <v>21920111.1111111</v>
      </c>
      <c r="M63" s="35" t="n">
        <f aca="false">(K59-K63)/K59</f>
        <v>0.181818181818182</v>
      </c>
      <c r="N63" s="22" t="n">
        <f aca="false">(L63-80000000)/80000000</f>
        <v>-0.725998611111111</v>
      </c>
      <c r="P63" s="7" t="s">
        <v>26</v>
      </c>
    </row>
    <row r="64" customFormat="false" ht="15" hidden="false" customHeight="false" outlineLevel="0" collapsed="false">
      <c r="C64" s="2" t="n">
        <v>5</v>
      </c>
      <c r="D64" s="2" t="n">
        <v>5072212</v>
      </c>
      <c r="E64" s="2" t="n">
        <v>9165</v>
      </c>
      <c r="F64" s="12" t="n">
        <f aca="false">D64/E64*1000</f>
        <v>553432.84233497</v>
      </c>
      <c r="G64" s="23" t="n">
        <f aca="false">(E60-E64)/E60</f>
        <v>0.107855543658133</v>
      </c>
      <c r="H64" s="14" t="n">
        <f aca="false">(F64-80000000)/80000000</f>
        <v>-0.993082089470813</v>
      </c>
      <c r="I64" s="2" t="n">
        <v>5</v>
      </c>
      <c r="J64" s="12" t="n">
        <v>4880523</v>
      </c>
      <c r="K64" s="2" t="n">
        <v>221</v>
      </c>
      <c r="L64" s="12" t="n">
        <f aca="false">J64/K64*1000</f>
        <v>22083814.479638</v>
      </c>
      <c r="M64" s="23" t="n">
        <f aca="false">(K60-K64)/K60</f>
        <v>0.243150684931507</v>
      </c>
      <c r="N64" s="14" t="n">
        <f aca="false">(L64-80000000)/80000000</f>
        <v>-0.723952319004525</v>
      </c>
    </row>
    <row r="65" customFormat="false" ht="15" hidden="false" customHeight="false" outlineLevel="0" collapsed="false">
      <c r="I65" s="2" t="n">
        <v>6</v>
      </c>
      <c r="J65" s="12" t="n">
        <v>119060324</v>
      </c>
      <c r="K65" s="2" t="n">
        <v>5889</v>
      </c>
      <c r="L65" s="12" t="n">
        <f aca="false">J65/K65*1000</f>
        <v>20217409.4073697</v>
      </c>
      <c r="M65" s="23" t="n">
        <f aca="false">(K61-K65)/K61</f>
        <v>0.163731894348197</v>
      </c>
      <c r="N65" s="14" t="n">
        <f aca="false">(L65-80000000)/80000000</f>
        <v>-0.747282382407879</v>
      </c>
    </row>
    <row r="67" customFormat="false" ht="15" hidden="false" customHeight="false" outlineLevel="0" collapsed="false">
      <c r="A67" s="16" t="n">
        <v>45862</v>
      </c>
      <c r="B67" s="17"/>
      <c r="C67" s="18" t="n">
        <v>4</v>
      </c>
      <c r="D67" s="19" t="n">
        <v>206603</v>
      </c>
      <c r="E67" s="20" t="n">
        <v>274</v>
      </c>
      <c r="F67" s="19" t="n">
        <f aca="false">D67/E67*1000</f>
        <v>754025.547445255</v>
      </c>
      <c r="G67" s="35" t="n">
        <f aca="false">(E63-E67)/E63</f>
        <v>0.23249299719888</v>
      </c>
      <c r="H67" s="22" t="n">
        <f aca="false">(F67-80000000)/80000000</f>
        <v>-0.990574680656934</v>
      </c>
      <c r="I67" s="3" t="n">
        <v>4</v>
      </c>
      <c r="J67" s="19" t="n">
        <v>197281</v>
      </c>
      <c r="K67" s="3" t="n">
        <v>9</v>
      </c>
      <c r="L67" s="19" t="n">
        <f aca="false">J67/K67*1000</f>
        <v>21920111.1111111</v>
      </c>
      <c r="M67" s="35" t="n">
        <f aca="false">(K63-K67)/K63</f>
        <v>0</v>
      </c>
      <c r="N67" s="22" t="n">
        <f aca="false">(L67-80000000)/80000000</f>
        <v>-0.725998611111111</v>
      </c>
      <c r="P67" s="2" t="s">
        <v>27</v>
      </c>
    </row>
    <row r="68" customFormat="false" ht="15" hidden="false" customHeight="false" outlineLevel="0" collapsed="false">
      <c r="C68" s="2" t="n">
        <v>5</v>
      </c>
      <c r="D68" s="2" t="n">
        <v>5072212</v>
      </c>
      <c r="E68" s="2" t="n">
        <v>7448</v>
      </c>
      <c r="F68" s="12" t="n">
        <f aca="false">D68/E68*1000</f>
        <v>681016.648764769</v>
      </c>
      <c r="G68" s="23" t="n">
        <f aca="false">(E64-E68)/E64</f>
        <v>0.1873431533006</v>
      </c>
      <c r="H68" s="14" t="n">
        <f aca="false">(F68-80000000)/80000000</f>
        <v>-0.99148729189044</v>
      </c>
      <c r="I68" s="2" t="n">
        <v>5</v>
      </c>
      <c r="J68" s="12" t="n">
        <v>4880523</v>
      </c>
      <c r="K68" s="2" t="n">
        <v>223</v>
      </c>
      <c r="L68" s="12" t="n">
        <f aca="false">J68/K68*1000</f>
        <v>21885753.3632287</v>
      </c>
      <c r="M68" s="25" t="n">
        <f aca="false">(K64-K68)/K64</f>
        <v>-0.00904977375565611</v>
      </c>
      <c r="N68" s="14" t="n">
        <f aca="false">(L68-80000000)/80000000</f>
        <v>-0.726428082959641</v>
      </c>
    </row>
    <row r="69" customFormat="false" ht="15" hidden="false" customHeight="false" outlineLevel="0" collapsed="false">
      <c r="I69" s="2" t="n">
        <v>6</v>
      </c>
      <c r="J69" s="12" t="n">
        <v>119060324</v>
      </c>
      <c r="K69" s="2" t="n">
        <v>5953</v>
      </c>
      <c r="L69" s="12" t="n">
        <f aca="false">J69/K69*1000</f>
        <v>20000054.4263397</v>
      </c>
      <c r="M69" s="25" t="n">
        <f aca="false">(K65-K69)/K65</f>
        <v>-0.010867719476991</v>
      </c>
      <c r="N69" s="14" t="n">
        <f aca="false">(L69-80000000)/80000000</f>
        <v>-0.749999319670754</v>
      </c>
      <c r="P69" s="2" t="s">
        <v>28</v>
      </c>
    </row>
    <row r="71" customFormat="false" ht="15" hidden="false" customHeight="true" outlineLevel="0" collapsed="false">
      <c r="A71" s="26" t="n">
        <v>45873</v>
      </c>
      <c r="B71" s="27"/>
      <c r="C71" s="28" t="n">
        <v>4</v>
      </c>
      <c r="D71" s="29" t="n">
        <v>206603</v>
      </c>
      <c r="E71" s="30" t="n">
        <v>280</v>
      </c>
      <c r="F71" s="29" t="n">
        <f aca="false">D71/E71*1000</f>
        <v>737867.857142857</v>
      </c>
      <c r="G71" s="24" t="n">
        <f aca="false">(E67-E71)/E67</f>
        <v>-0.0218978102189781</v>
      </c>
      <c r="H71" s="22" t="n">
        <f aca="false">(F71-80000000)/80000000</f>
        <v>-0.990776651785714</v>
      </c>
      <c r="I71" s="31" t="n">
        <v>4</v>
      </c>
      <c r="J71" s="29" t="n">
        <v>197281</v>
      </c>
      <c r="K71" s="31" t="n">
        <v>13</v>
      </c>
      <c r="L71" s="29" t="n">
        <f aca="false">J71/K71*1000</f>
        <v>15175461.5384615</v>
      </c>
      <c r="M71" s="24" t="n">
        <f aca="false">(K67-K71)/K67</f>
        <v>-0.444444444444444</v>
      </c>
      <c r="N71" s="22" t="n">
        <f aca="false">(L71-80000000)/80000000</f>
        <v>-0.810306730769231</v>
      </c>
      <c r="P71" s="32" t="s">
        <v>29</v>
      </c>
    </row>
    <row r="72" customFormat="false" ht="15" hidden="false" customHeight="true" outlineLevel="0" collapsed="false">
      <c r="A72" s="32"/>
      <c r="B72" s="33"/>
      <c r="C72" s="32" t="n">
        <v>5</v>
      </c>
      <c r="D72" s="32" t="n">
        <v>5072212</v>
      </c>
      <c r="E72" s="32" t="n">
        <v>6070</v>
      </c>
      <c r="F72" s="34" t="n">
        <f aca="false">D72/E72*1000</f>
        <v>835619.769357496</v>
      </c>
      <c r="G72" s="23" t="n">
        <f aca="false">(E68-E72)/E68</f>
        <v>0.185016111707841</v>
      </c>
      <c r="H72" s="14" t="n">
        <f aca="false">(F72-80000000)/80000000</f>
        <v>-0.989554752883031</v>
      </c>
      <c r="I72" s="32" t="n">
        <v>5</v>
      </c>
      <c r="J72" s="34" t="n">
        <v>4880523</v>
      </c>
      <c r="K72" s="32" t="n">
        <v>229</v>
      </c>
      <c r="L72" s="34" t="n">
        <f aca="false">J72/K72*1000</f>
        <v>21312327.510917</v>
      </c>
      <c r="M72" s="25" t="n">
        <f aca="false">(K68-K72)/K68</f>
        <v>-0.0269058295964126</v>
      </c>
      <c r="N72" s="14" t="n">
        <f aca="false">(L72-80000000)/80000000</f>
        <v>-0.733595906113537</v>
      </c>
    </row>
    <row r="73" customFormat="false" ht="15" hidden="false" customHeight="true" outlineLevel="0" collapsed="false">
      <c r="A73" s="32"/>
      <c r="B73" s="33"/>
      <c r="C73" s="32"/>
      <c r="D73" s="32"/>
      <c r="E73" s="32"/>
      <c r="F73" s="32"/>
      <c r="G73" s="32"/>
      <c r="H73" s="33"/>
      <c r="I73" s="32" t="n">
        <v>6</v>
      </c>
      <c r="J73" s="34" t="n">
        <v>119060324</v>
      </c>
      <c r="K73" s="32" t="n">
        <v>4920</v>
      </c>
      <c r="L73" s="34" t="n">
        <f aca="false">J73/K73*1000</f>
        <v>24199252.8455285</v>
      </c>
      <c r="M73" s="23" t="n">
        <f aca="false">(K69-K73)/K69</f>
        <v>0.173525953300857</v>
      </c>
      <c r="N73" s="14" t="n">
        <f aca="false">(L73-80000000)/80000000</f>
        <v>-0.697509339430894</v>
      </c>
    </row>
    <row r="74" customFormat="false" ht="15" hidden="false" customHeight="true" outlineLevel="0" collapsed="false">
      <c r="A74" s="32"/>
      <c r="B74" s="33"/>
      <c r="C74" s="32"/>
      <c r="D74" s="32"/>
      <c r="E74" s="32"/>
      <c r="F74" s="32"/>
      <c r="G74" s="32"/>
      <c r="H74" s="33"/>
      <c r="I74" s="32" t="n">
        <v>7</v>
      </c>
      <c r="J74" s="34" t="n">
        <v>3195901860</v>
      </c>
      <c r="K74" s="32" t="n">
        <v>110737</v>
      </c>
      <c r="L74" s="34" t="n">
        <f aca="false">J74/K74*1000</f>
        <v>28860289.3341882</v>
      </c>
      <c r="M74" s="32"/>
      <c r="N74" s="25" t="n">
        <f aca="false">(L74-80000000)/80000000</f>
        <v>-0.639246383322647</v>
      </c>
    </row>
    <row r="76" customFormat="false" ht="15" hidden="false" customHeight="true" outlineLevel="0" collapsed="false">
      <c r="A76" s="16" t="n">
        <v>45956</v>
      </c>
      <c r="B76" s="17"/>
      <c r="C76" s="18" t="n">
        <v>4</v>
      </c>
      <c r="D76" s="19" t="n">
        <v>206603</v>
      </c>
      <c r="E76" s="20" t="n">
        <v>275</v>
      </c>
      <c r="F76" s="19" t="n">
        <f aca="false">D76/E76*1000</f>
        <v>751283.636363636</v>
      </c>
      <c r="G76" s="24" t="n">
        <f aca="false">(E67-E76)/E67</f>
        <v>-0.00364963503649635</v>
      </c>
      <c r="H76" s="22" t="n">
        <f aca="false">(F76-80000000)/80000000</f>
        <v>-0.990608954545455</v>
      </c>
      <c r="I76" s="3" t="n">
        <v>4</v>
      </c>
      <c r="J76" s="19" t="n">
        <v>197281</v>
      </c>
      <c r="K76" s="3" t="n">
        <v>9</v>
      </c>
      <c r="L76" s="19" t="n">
        <f aca="false">J76/K76*1000</f>
        <v>21920111.1111111</v>
      </c>
      <c r="M76" s="35" t="n">
        <f aca="false">(K67-K76)/K67</f>
        <v>0</v>
      </c>
      <c r="N76" s="22" t="n">
        <f aca="false">(L76-80000000)/80000000</f>
        <v>-0.725998611111111</v>
      </c>
      <c r="P76" s="2" t="s">
        <v>30</v>
      </c>
    </row>
    <row r="77" customFormat="false" ht="15" hidden="false" customHeight="true" outlineLevel="0" collapsed="false">
      <c r="C77" s="2" t="n">
        <v>5</v>
      </c>
      <c r="D77" s="2" t="n">
        <v>5072212</v>
      </c>
      <c r="E77" s="2" t="n">
        <v>7015</v>
      </c>
      <c r="F77" s="12" t="n">
        <f aca="false">D77/E77*1000</f>
        <v>723052.316464719</v>
      </c>
      <c r="G77" s="23" t="n">
        <f aca="false">(E68-E77)/E68</f>
        <v>0.0581364124597207</v>
      </c>
      <c r="H77" s="14" t="n">
        <f aca="false">(F77-80000000)/80000000</f>
        <v>-0.990961846044191</v>
      </c>
      <c r="I77" s="2" t="n">
        <v>5</v>
      </c>
      <c r="J77" s="12" t="n">
        <v>4880523</v>
      </c>
      <c r="K77" s="2" t="n">
        <v>230</v>
      </c>
      <c r="L77" s="12" t="n">
        <f aca="false">J77/K77*1000</f>
        <v>21219665.2173913</v>
      </c>
      <c r="M77" s="25" t="n">
        <f aca="false">(K68-K77)/K68</f>
        <v>-0.031390134529148</v>
      </c>
      <c r="N77" s="14" t="n">
        <f aca="false">(L77-80000000)/80000000</f>
        <v>-0.734754184782609</v>
      </c>
      <c r="P77" s="2" t="s">
        <v>31</v>
      </c>
    </row>
    <row r="78" customFormat="false" ht="15" hidden="false" customHeight="true" outlineLevel="0" collapsed="false">
      <c r="I78" s="2" t="n">
        <v>6</v>
      </c>
      <c r="J78" s="12" t="n">
        <v>119060324</v>
      </c>
      <c r="K78" s="2" t="n">
        <v>5862</v>
      </c>
      <c r="L78" s="12" t="n">
        <f aca="false">J78/K78*1000</f>
        <v>20310529.5121119</v>
      </c>
      <c r="M78" s="37" t="n">
        <f aca="false">(K69-K78)/K69</f>
        <v>0.0152864102133378</v>
      </c>
      <c r="N78" s="14" t="n">
        <f aca="false">(L78-80000000)/80000000</f>
        <v>-0.746118381098601</v>
      </c>
    </row>
    <row r="80" customFormat="false" ht="15" hidden="false" customHeight="true" outlineLevel="0" collapsed="false">
      <c r="A80" s="16" t="n">
        <v>45961</v>
      </c>
      <c r="B80" s="17"/>
      <c r="C80" s="18" t="n">
        <v>4</v>
      </c>
      <c r="D80" s="19" t="n">
        <v>206603</v>
      </c>
      <c r="E80" s="20" t="n">
        <v>249</v>
      </c>
      <c r="F80" s="19" t="n">
        <f aca="false">D80/E80*1000</f>
        <v>829730.923694779</v>
      </c>
      <c r="G80" s="35" t="n">
        <f aca="false">(E76-E80)/E76</f>
        <v>0.0945454545454545</v>
      </c>
      <c r="H80" s="22" t="n">
        <f aca="false">(F80-80000000)/80000000</f>
        <v>-0.989628363453815</v>
      </c>
      <c r="I80" s="3" t="n">
        <v>4</v>
      </c>
      <c r="J80" s="19" t="n">
        <v>197281</v>
      </c>
      <c r="K80" s="3" t="n">
        <v>9</v>
      </c>
      <c r="L80" s="19" t="n">
        <f aca="false">J80/K80*1000</f>
        <v>21920111.1111111</v>
      </c>
      <c r="M80" s="35" t="n">
        <f aca="false">(K76-K80)/K76</f>
        <v>0</v>
      </c>
      <c r="N80" s="22" t="n">
        <f aca="false">(L80-80000000)/80000000</f>
        <v>-0.725998611111111</v>
      </c>
      <c r="P80" s="2" t="s">
        <v>32</v>
      </c>
    </row>
    <row r="81" customFormat="false" ht="15" hidden="false" customHeight="true" outlineLevel="0" collapsed="false">
      <c r="C81" s="2" t="n">
        <v>5</v>
      </c>
      <c r="D81" s="2" t="n">
        <v>5072212</v>
      </c>
      <c r="E81" s="2" t="n">
        <v>6742</v>
      </c>
      <c r="F81" s="12" t="n">
        <f aca="false">D81/E81*1000</f>
        <v>752330.46573717</v>
      </c>
      <c r="G81" s="23" t="n">
        <f aca="false">(E77-E81)/E77</f>
        <v>0.0389166072701354</v>
      </c>
      <c r="H81" s="14" t="n">
        <f aca="false">(F81-80000000)/80000000</f>
        <v>-0.990595869178286</v>
      </c>
      <c r="I81" s="2" t="n">
        <v>5</v>
      </c>
      <c r="J81" s="12" t="n">
        <v>4880523</v>
      </c>
      <c r="K81" s="2" t="n">
        <v>206</v>
      </c>
      <c r="L81" s="12" t="n">
        <f aca="false">J81/K81*1000</f>
        <v>23691859.223301</v>
      </c>
      <c r="M81" s="37" t="n">
        <f aca="false">(K77-K81)/K77</f>
        <v>0.104347826086957</v>
      </c>
      <c r="N81" s="14" t="n">
        <f aca="false">(L81-80000000)/80000000</f>
        <v>-0.703851759708738</v>
      </c>
      <c r="P81" s="2" t="s">
        <v>33</v>
      </c>
    </row>
    <row r="82" customFormat="false" ht="15" hidden="false" customHeight="true" outlineLevel="0" collapsed="false">
      <c r="I82" s="2" t="n">
        <v>6</v>
      </c>
      <c r="J82" s="12" t="n">
        <v>119060324</v>
      </c>
      <c r="K82" s="2" t="n">
        <v>5611</v>
      </c>
      <c r="L82" s="12" t="n">
        <f aca="false">J82/K82*1000</f>
        <v>21219091.7839957</v>
      </c>
      <c r="M82" s="37" t="n">
        <f aca="false">(K78-K82)/K78</f>
        <v>0.0428181508017741</v>
      </c>
      <c r="N82" s="14" t="n">
        <f aca="false">(L82-80000000)/80000000</f>
        <v>-0.734761352700054</v>
      </c>
    </row>
    <row r="84" customFormat="false" ht="15" hidden="false" customHeight="true" outlineLevel="0" collapsed="false">
      <c r="A84" s="16" t="n">
        <v>45970</v>
      </c>
      <c r="B84" s="17"/>
      <c r="C84" s="18" t="n">
        <v>4</v>
      </c>
      <c r="D84" s="19" t="n">
        <v>206603</v>
      </c>
      <c r="E84" s="20" t="n">
        <v>206</v>
      </c>
      <c r="F84" s="19" t="n">
        <f aca="false">D84/E84*1000</f>
        <v>1002927.18446602</v>
      </c>
      <c r="G84" s="35" t="n">
        <f aca="false">(E80-E84)/E80</f>
        <v>0.172690763052209</v>
      </c>
      <c r="H84" s="22" t="n">
        <f aca="false">(F84-80000000)/80000000</f>
        <v>-0.987463410194175</v>
      </c>
      <c r="I84" s="3" t="n">
        <v>4</v>
      </c>
      <c r="J84" s="19" t="n">
        <v>197281</v>
      </c>
      <c r="K84" s="3" t="n">
        <v>6</v>
      </c>
      <c r="L84" s="19" t="n">
        <f aca="false">J84/K84*1000</f>
        <v>32880166.6666667</v>
      </c>
      <c r="M84" s="35" t="n">
        <f aca="false">(K80-K84)/K80</f>
        <v>0.333333333333333</v>
      </c>
      <c r="N84" s="22" t="n">
        <f aca="false">(L84-80000000)/80000000</f>
        <v>-0.588997916666667</v>
      </c>
      <c r="P84" s="2" t="s">
        <v>34</v>
      </c>
    </row>
    <row r="85" customFormat="false" ht="15" hidden="false" customHeight="true" outlineLevel="0" collapsed="false">
      <c r="C85" s="2" t="n">
        <v>5</v>
      </c>
      <c r="D85" s="2" t="n">
        <v>5072212</v>
      </c>
      <c r="E85" s="2" t="n">
        <v>5048</v>
      </c>
      <c r="F85" s="12" t="n">
        <f aca="false">D85/E85*1000</f>
        <v>1004796.35499208</v>
      </c>
      <c r="G85" s="23" t="n">
        <f aca="false">(E81-E85)/E81</f>
        <v>0.251260753485613</v>
      </c>
      <c r="H85" s="14" t="n">
        <f aca="false">(F85-80000000)/80000000</f>
        <v>-0.987440045562599</v>
      </c>
      <c r="I85" s="2" t="n">
        <v>5</v>
      </c>
      <c r="J85" s="12" t="n">
        <v>4880523</v>
      </c>
      <c r="K85" s="2" t="n">
        <v>155</v>
      </c>
      <c r="L85" s="12" t="n">
        <f aca="false">J85/K85*1000</f>
        <v>31487245.1612903</v>
      </c>
      <c r="M85" s="37" t="n">
        <f aca="false">(K81-K85)/K81</f>
        <v>0.247572815533981</v>
      </c>
      <c r="N85" s="14" t="n">
        <f aca="false">(L85-80000000)/80000000</f>
        <v>-0.606409435483871</v>
      </c>
    </row>
    <row r="86" customFormat="false" ht="15" hidden="false" customHeight="true" outlineLevel="0" collapsed="false">
      <c r="I86" s="2" t="n">
        <v>6</v>
      </c>
      <c r="J86" s="12" t="n">
        <v>119060324</v>
      </c>
      <c r="K86" s="2" t="n">
        <v>3790</v>
      </c>
      <c r="L86" s="12" t="n">
        <f aca="false">J86/K86*1000</f>
        <v>31414333.5092348</v>
      </c>
      <c r="M86" s="37" t="n">
        <f aca="false">(K82-K86)/K82</f>
        <v>0.324541080021387</v>
      </c>
      <c r="N86" s="14" t="n">
        <f aca="false">(L86-80000000)/80000000</f>
        <v>-0.607320831134565</v>
      </c>
    </row>
    <row r="88" customFormat="false" ht="15" hidden="false" customHeight="true" outlineLevel="0" collapsed="false">
      <c r="A88" s="16" t="n">
        <v>45971</v>
      </c>
      <c r="B88" s="17"/>
      <c r="C88" s="18" t="n">
        <v>4</v>
      </c>
      <c r="D88" s="19" t="n">
        <v>206603</v>
      </c>
      <c r="E88" s="20" t="n">
        <v>199</v>
      </c>
      <c r="F88" s="19" t="n">
        <f aca="false">D88/E88*1000</f>
        <v>1038206.03015075</v>
      </c>
      <c r="G88" s="35" t="n">
        <f aca="false">(E84-E88)/E84</f>
        <v>0.0339805825242718</v>
      </c>
      <c r="H88" s="22" t="n">
        <f aca="false">(F88-80000000)/80000000</f>
        <v>-0.987022424623116</v>
      </c>
      <c r="I88" s="3" t="n">
        <v>4</v>
      </c>
      <c r="J88" s="19" t="n">
        <v>197281</v>
      </c>
      <c r="K88" s="3" t="n">
        <v>6</v>
      </c>
      <c r="L88" s="19" t="n">
        <f aca="false">J88/K88*1000</f>
        <v>32880166.6666667</v>
      </c>
      <c r="M88" s="35" t="n">
        <f aca="false">(K84-K88)/K84</f>
        <v>0</v>
      </c>
      <c r="N88" s="22" t="n">
        <f aca="false">(L88-80000000)/80000000</f>
        <v>-0.588997916666667</v>
      </c>
      <c r="P88" s="2" t="s">
        <v>35</v>
      </c>
    </row>
    <row r="89" customFormat="false" ht="15" hidden="false" customHeight="true" outlineLevel="0" collapsed="false">
      <c r="C89" s="2" t="n">
        <v>5</v>
      </c>
      <c r="D89" s="2" t="n">
        <v>5072212</v>
      </c>
      <c r="E89" s="2" t="n">
        <v>4875</v>
      </c>
      <c r="F89" s="12" t="n">
        <f aca="false">D89/E89*1000</f>
        <v>1040453.74358974</v>
      </c>
      <c r="G89" s="23" t="n">
        <f aca="false">(E85-E89)/E85</f>
        <v>0.0342709984152139</v>
      </c>
      <c r="H89" s="14" t="n">
        <f aca="false">(F89-80000000)/80000000</f>
        <v>-0.986994328205128</v>
      </c>
      <c r="I89" s="2" t="n">
        <v>5</v>
      </c>
      <c r="J89" s="12" t="n">
        <v>4880523</v>
      </c>
      <c r="K89" s="2" t="n">
        <v>155</v>
      </c>
      <c r="L89" s="12" t="n">
        <f aca="false">J89/K89*1000</f>
        <v>31487245.1612903</v>
      </c>
      <c r="M89" s="37" t="n">
        <f aca="false">(K85-K89)/K85</f>
        <v>0</v>
      </c>
      <c r="N89" s="14" t="n">
        <f aca="false">(L89-80000000)/80000000</f>
        <v>-0.606409435483871</v>
      </c>
    </row>
    <row r="90" customFormat="false" ht="15" hidden="false" customHeight="true" outlineLevel="0" collapsed="false">
      <c r="I90" s="2" t="n">
        <v>6</v>
      </c>
      <c r="J90" s="12" t="n">
        <v>119060324</v>
      </c>
      <c r="K90" s="2" t="n">
        <v>3798</v>
      </c>
      <c r="L90" s="12" t="n">
        <f aca="false">J90/K90*1000</f>
        <v>31348163.2438125</v>
      </c>
      <c r="M90" s="25" t="n">
        <f aca="false">(K86-K90)/K86</f>
        <v>-0.00211081794195251</v>
      </c>
      <c r="N90" s="14" t="n">
        <f aca="false">(L90-80000000)/80000000</f>
        <v>-0.608147959452343</v>
      </c>
    </row>
    <row r="92" customFormat="false" ht="15" hidden="false" customHeight="true" outlineLevel="0" collapsed="false">
      <c r="A92" s="16" t="n">
        <v>45991</v>
      </c>
      <c r="B92" s="17"/>
      <c r="C92" s="18" t="n">
        <v>4</v>
      </c>
      <c r="D92" s="19" t="n">
        <v>206603</v>
      </c>
      <c r="E92" s="20" t="n">
        <v>207</v>
      </c>
      <c r="F92" s="19" t="n">
        <f aca="false">D92/E92*1000</f>
        <v>998082.125603865</v>
      </c>
      <c r="G92" s="24" t="n">
        <f aca="false">(E88-E92)/E88</f>
        <v>-0.0402010050251256</v>
      </c>
      <c r="H92" s="22" t="n">
        <f aca="false">(F92-80000000)/80000000</f>
        <v>-0.987523973429952</v>
      </c>
      <c r="I92" s="3" t="n">
        <v>4</v>
      </c>
      <c r="J92" s="19" t="n">
        <v>197281</v>
      </c>
      <c r="K92" s="3" t="n">
        <v>6</v>
      </c>
      <c r="L92" s="19" t="n">
        <f aca="false">J92/K92*1000</f>
        <v>32880166.6666667</v>
      </c>
      <c r="M92" s="24" t="n">
        <f aca="false">(K88-K92)/K88</f>
        <v>0</v>
      </c>
      <c r="N92" s="22" t="n">
        <f aca="false">(L92-80000000)/80000000</f>
        <v>-0.588997916666667</v>
      </c>
      <c r="P92" s="7" t="s">
        <v>36</v>
      </c>
    </row>
    <row r="93" customFormat="false" ht="15" hidden="false" customHeight="true" outlineLevel="0" collapsed="false">
      <c r="C93" s="2" t="n">
        <v>5</v>
      </c>
      <c r="D93" s="2" t="n">
        <v>5072212</v>
      </c>
      <c r="E93" s="2" t="n">
        <v>5126</v>
      </c>
      <c r="F93" s="12" t="n">
        <f aca="false">D93/E93*1000</f>
        <v>989506.827936013</v>
      </c>
      <c r="G93" s="25" t="n">
        <f aca="false">(E89-E93)/E89</f>
        <v>-0.0514871794871795</v>
      </c>
      <c r="H93" s="14" t="n">
        <f aca="false">(F93-80000000)/80000000</f>
        <v>-0.9876311646508</v>
      </c>
      <c r="I93" s="2" t="n">
        <v>5</v>
      </c>
      <c r="J93" s="12" t="n">
        <v>4880523</v>
      </c>
      <c r="K93" s="2" t="n">
        <v>167</v>
      </c>
      <c r="L93" s="12" t="n">
        <f aca="false">J93/K93*1000</f>
        <v>29224688.6227545</v>
      </c>
      <c r="M93" s="25" t="n">
        <f aca="false">(K89-K93)/K89</f>
        <v>-0.0774193548387097</v>
      </c>
      <c r="N93" s="14" t="n">
        <f aca="false">(L93-80000000)/80000000</f>
        <v>-0.634691392215569</v>
      </c>
    </row>
    <row r="94" customFormat="false" ht="15" hidden="false" customHeight="true" outlineLevel="0" collapsed="false">
      <c r="I94" s="2" t="n">
        <v>6</v>
      </c>
      <c r="J94" s="12" t="n">
        <v>119060324</v>
      </c>
      <c r="K94" s="2" t="n">
        <v>4097</v>
      </c>
      <c r="L94" s="12" t="n">
        <f aca="false">J94/K94*1000</f>
        <v>29060367.0978765</v>
      </c>
      <c r="M94" s="25" t="n">
        <f aca="false">(K90-K94)/K90</f>
        <v>-0.078725645076356</v>
      </c>
      <c r="N94" s="14" t="n">
        <f aca="false">(L94-80000000)/80000000</f>
        <v>-0.636745411276544</v>
      </c>
    </row>
    <row r="96" customFormat="false" ht="15" hidden="false" customHeight="false" outlineLevel="0" collapsed="false">
      <c r="A96" s="16" t="n">
        <v>46027</v>
      </c>
      <c r="B96" s="17"/>
      <c r="C96" s="18" t="n">
        <v>4</v>
      </c>
      <c r="D96" s="19" t="n">
        <v>206603</v>
      </c>
      <c r="E96" s="20" t="n">
        <v>218</v>
      </c>
      <c r="F96" s="19" t="n">
        <f aca="false">D96/E96*1000</f>
        <v>947720.183486239</v>
      </c>
      <c r="G96" s="24" t="n">
        <f aca="false">(E92-E96)/E92</f>
        <v>-0.0531400966183575</v>
      </c>
      <c r="H96" s="22" t="n">
        <f aca="false">(F96-80000000)/80000000</f>
        <v>-0.988153497706422</v>
      </c>
      <c r="I96" s="3" t="n">
        <v>4</v>
      </c>
      <c r="J96" s="19" t="n">
        <v>197281</v>
      </c>
      <c r="K96" s="3" t="n">
        <v>7</v>
      </c>
      <c r="L96" s="19" t="n">
        <f aca="false">J96/K96*1000</f>
        <v>28183000</v>
      </c>
      <c r="M96" s="24" t="n">
        <f aca="false">(K92-K96)/K92</f>
        <v>-0.166666666666667</v>
      </c>
      <c r="N96" s="22" t="n">
        <f aca="false">(L96-80000000)/80000000</f>
        <v>-0.6477125</v>
      </c>
      <c r="P96" s="7" t="s">
        <v>37</v>
      </c>
    </row>
    <row r="97" customFormat="false" ht="15" hidden="false" customHeight="false" outlineLevel="0" collapsed="false">
      <c r="C97" s="2" t="n">
        <v>5</v>
      </c>
      <c r="D97" s="2" t="n">
        <v>5072212</v>
      </c>
      <c r="E97" s="2" t="n">
        <v>5403</v>
      </c>
      <c r="F97" s="12" t="n">
        <f aca="false">D97/E97*1000</f>
        <v>938776.975754211</v>
      </c>
      <c r="G97" s="25" t="n">
        <f aca="false">(E93-E97)/E93</f>
        <v>-0.0540382364416699</v>
      </c>
      <c r="H97" s="14" t="n">
        <f aca="false">(F97-80000000)/80000000</f>
        <v>-0.988265287803072</v>
      </c>
      <c r="I97" s="2" t="n">
        <v>5</v>
      </c>
      <c r="J97" s="12" t="n">
        <v>4880523</v>
      </c>
      <c r="K97" s="2" t="n">
        <v>170</v>
      </c>
      <c r="L97" s="12" t="n">
        <f aca="false">J97/K97*1000</f>
        <v>28708958.8235294</v>
      </c>
      <c r="M97" s="25" t="n">
        <f aca="false">(K93-K97)/K93</f>
        <v>-0.0179640718562874</v>
      </c>
      <c r="N97" s="14" t="n">
        <f aca="false">(L97-80000000)/80000000</f>
        <v>-0.641138014705882</v>
      </c>
      <c r="P97" s="7" t="s">
        <v>38</v>
      </c>
    </row>
    <row r="98" customFormat="false" ht="15" hidden="false" customHeight="false" outlineLevel="0" collapsed="false">
      <c r="I98" s="2" t="n">
        <v>6</v>
      </c>
      <c r="J98" s="12" t="n">
        <v>119060324</v>
      </c>
      <c r="K98" s="2" t="n">
        <v>4295</v>
      </c>
      <c r="L98" s="12" t="n">
        <f aca="false">J98/K98*1000</f>
        <v>27720680.7916182</v>
      </c>
      <c r="M98" s="25" t="n">
        <f aca="false">(K94-K98)/K94</f>
        <v>-0.0483280449109104</v>
      </c>
      <c r="N98" s="14" t="n">
        <f aca="false">(L98-80000000)/80000000</f>
        <v>-0.653491490104773</v>
      </c>
    </row>
    <row r="100" customFormat="false" ht="15" hidden="false" customHeight="false" outlineLevel="0" collapsed="false">
      <c r="A100" s="16" t="n">
        <v>46040</v>
      </c>
      <c r="B100" s="27"/>
      <c r="C100" s="28" t="n">
        <v>4</v>
      </c>
      <c r="D100" s="29" t="n">
        <v>206603</v>
      </c>
      <c r="E100" s="30" t="n">
        <v>196</v>
      </c>
      <c r="F100" s="29" t="n">
        <f aca="false">D100/E100*1000</f>
        <v>1054096.93877551</v>
      </c>
      <c r="G100" s="35" t="n">
        <f aca="false">(E96-E100)/E96</f>
        <v>0.100917431192661</v>
      </c>
      <c r="H100" s="22" t="n">
        <f aca="false">(F100-80000000)/80000000</f>
        <v>-0.986823788265306</v>
      </c>
      <c r="I100" s="31" t="n">
        <v>4</v>
      </c>
      <c r="J100" s="29" t="n">
        <v>197281</v>
      </c>
      <c r="K100" s="31" t="n">
        <v>7</v>
      </c>
      <c r="L100" s="29" t="n">
        <f aca="false">J100/K100*1000</f>
        <v>28183000</v>
      </c>
      <c r="M100" s="35" t="n">
        <f aca="false">(K96-K100)/K96</f>
        <v>0</v>
      </c>
      <c r="N100" s="22" t="n">
        <f aca="false">(L100-80000000)/80000000</f>
        <v>-0.6477125</v>
      </c>
      <c r="P100" s="7" t="s">
        <v>39</v>
      </c>
    </row>
    <row r="101" customFormat="false" ht="15" hidden="false" customHeight="false" outlineLevel="0" collapsed="false">
      <c r="A101" s="32"/>
      <c r="B101" s="33"/>
      <c r="C101" s="32" t="n">
        <v>5</v>
      </c>
      <c r="D101" s="32" t="n">
        <v>5072212</v>
      </c>
      <c r="E101" s="32" t="n">
        <v>4121</v>
      </c>
      <c r="F101" s="34" t="n">
        <f aca="false">D101/E101*1000</f>
        <v>1230820.67459355</v>
      </c>
      <c r="G101" s="23" t="n">
        <f aca="false">(E97-E101)/E97</f>
        <v>0.237275587636498</v>
      </c>
      <c r="H101" s="14" t="n">
        <f aca="false">(F101-80000000)/80000000</f>
        <v>-0.984614741567581</v>
      </c>
      <c r="I101" s="32" t="n">
        <v>5</v>
      </c>
      <c r="J101" s="34" t="n">
        <v>4880523</v>
      </c>
      <c r="K101" s="32" t="n">
        <v>145</v>
      </c>
      <c r="L101" s="34" t="n">
        <f aca="false">J101/K101*1000</f>
        <v>33658779.3103448</v>
      </c>
      <c r="M101" s="37" t="n">
        <f aca="false">(K97-K101)/K97</f>
        <v>0.147058823529412</v>
      </c>
      <c r="N101" s="14" t="n">
        <f aca="false">(L101-80000000)/80000000</f>
        <v>-0.57926525862069</v>
      </c>
    </row>
    <row r="102" customFormat="false" ht="15" hidden="false" customHeight="false" outlineLevel="0" collapsed="false">
      <c r="A102" s="32"/>
      <c r="B102" s="33"/>
      <c r="C102" s="32"/>
      <c r="D102" s="32"/>
      <c r="E102" s="32"/>
      <c r="F102" s="32"/>
      <c r="G102" s="32"/>
      <c r="H102" s="33"/>
      <c r="I102" s="32" t="n">
        <v>6</v>
      </c>
      <c r="J102" s="34" t="n">
        <v>119060324</v>
      </c>
      <c r="K102" s="32" t="n">
        <v>3136</v>
      </c>
      <c r="L102" s="34" t="n">
        <f aca="false">J102/K102*1000</f>
        <v>37965664.5408163</v>
      </c>
      <c r="M102" s="23" t="n">
        <f aca="false">(K98-K102)/K98</f>
        <v>0.269848661233993</v>
      </c>
      <c r="N102" s="14" t="n">
        <f aca="false">(L102-80000000)/80000000</f>
        <v>-0.525429193239796</v>
      </c>
    </row>
    <row r="103" customFormat="false" ht="15" hidden="false" customHeight="false" outlineLevel="0" collapsed="false">
      <c r="A103" s="32"/>
      <c r="B103" s="33"/>
      <c r="C103" s="32"/>
      <c r="D103" s="32"/>
      <c r="E103" s="32"/>
      <c r="F103" s="32"/>
      <c r="G103" s="32"/>
      <c r="H103" s="33"/>
      <c r="I103" s="32" t="n">
        <v>7</v>
      </c>
      <c r="J103" s="34" t="n">
        <v>3195901860</v>
      </c>
      <c r="K103" s="32" t="n">
        <v>69384</v>
      </c>
      <c r="L103" s="34" t="n">
        <f aca="false">J103/K103*1000</f>
        <v>46061078.3465929</v>
      </c>
      <c r="M103" s="32"/>
      <c r="N103" s="25" t="n">
        <f aca="false">(L103-80000000)/80000000</f>
        <v>-0.424236520667589</v>
      </c>
    </row>
    <row r="105" customFormat="false" ht="15" hidden="false" customHeight="false" outlineLevel="0" collapsed="false">
      <c r="A105" s="16" t="n">
        <v>46049</v>
      </c>
      <c r="B105" s="17"/>
      <c r="C105" s="18" t="n">
        <v>4</v>
      </c>
      <c r="D105" s="19" t="n">
        <v>206603</v>
      </c>
      <c r="E105" s="20" t="n">
        <v>169</v>
      </c>
      <c r="F105" s="19" t="n">
        <f aca="false">D105/E105*1000</f>
        <v>1222502.95857988</v>
      </c>
      <c r="G105" s="35" t="n">
        <f aca="false">(E96-E105)/E96</f>
        <v>0.224770642201835</v>
      </c>
      <c r="H105" s="22" t="n">
        <f aca="false">(F105-80000000)/80000000</f>
        <v>-0.984718713017752</v>
      </c>
      <c r="I105" s="3" t="n">
        <v>4</v>
      </c>
      <c r="J105" s="19" t="n">
        <v>197281</v>
      </c>
      <c r="K105" s="3" t="n">
        <v>7</v>
      </c>
      <c r="L105" s="19" t="n">
        <f aca="false">J105/K105*1000</f>
        <v>28183000</v>
      </c>
      <c r="M105" s="35" t="n">
        <f aca="false">(K96-K105)/K96</f>
        <v>0</v>
      </c>
      <c r="N105" s="22" t="n">
        <f aca="false">(L105-80000000)/80000000</f>
        <v>-0.6477125</v>
      </c>
      <c r="P105" s="38" t="s">
        <v>40</v>
      </c>
    </row>
    <row r="106" customFormat="false" ht="15" hidden="false" customHeight="false" outlineLevel="0" collapsed="false">
      <c r="C106" s="2" t="n">
        <v>5</v>
      </c>
      <c r="D106" s="2" t="n">
        <v>5072212</v>
      </c>
      <c r="E106" s="2" t="n">
        <v>3708</v>
      </c>
      <c r="F106" s="12" t="n">
        <f aca="false">D106/E106*1000</f>
        <v>1367910.46386192</v>
      </c>
      <c r="G106" s="23" t="n">
        <f aca="false">(E97-E106)/E97</f>
        <v>0.313714602998334</v>
      </c>
      <c r="H106" s="14" t="n">
        <f aca="false">(F106-80000000)/80000000</f>
        <v>-0.982901119201726</v>
      </c>
      <c r="I106" s="2" t="n">
        <v>5</v>
      </c>
      <c r="J106" s="12" t="n">
        <v>4880523</v>
      </c>
      <c r="K106" s="2" t="n">
        <v>121</v>
      </c>
      <c r="L106" s="12" t="n">
        <f aca="false">J106/K106*1000</f>
        <v>40334900.8264463</v>
      </c>
      <c r="M106" s="23" t="n">
        <f aca="false">(K97-K106)/K97</f>
        <v>0.288235294117647</v>
      </c>
      <c r="N106" s="14" t="n">
        <f aca="false">(L106-80000000)/80000000</f>
        <v>-0.495813739669422</v>
      </c>
    </row>
    <row r="107" customFormat="false" ht="15" hidden="false" customHeight="false" outlineLevel="0" collapsed="false">
      <c r="I107" s="2" t="n">
        <v>6</v>
      </c>
      <c r="J107" s="12" t="n">
        <v>119060324</v>
      </c>
      <c r="K107" s="2" t="n">
        <v>2626</v>
      </c>
      <c r="L107" s="12" t="n">
        <f aca="false">J107/K107*1000</f>
        <v>45339041.8888043</v>
      </c>
      <c r="M107" s="23" t="n">
        <f aca="false">(K98-K107)/K98</f>
        <v>0.388591385331781</v>
      </c>
      <c r="N107" s="14" t="n">
        <f aca="false">(L107-80000000)/80000000</f>
        <v>-0.433261976389947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5234375" defaultRowHeight="15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9" t="n">
        <v>45393</v>
      </c>
      <c r="B1" s="7" t="s">
        <v>41</v>
      </c>
      <c r="C1" s="7" t="s">
        <v>42</v>
      </c>
      <c r="D1" s="7" t="s">
        <v>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2026-01-27T19:21:16Z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