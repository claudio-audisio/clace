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tial Position Single Thread" sheetId="1" state="visible" r:id="rId3"/>
    <sheet name="vs other Enig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<sst xmlns="http://schemas.openxmlformats.org/spreadsheetml/2006/main" count="27" uniqueCount="21">
  <si>
    <t xml:space="preserve">classic</t>
  </si>
  <si>
    <t xml:space="preserve">bulk</t>
  </si>
  <si>
    <t xml:space="preserve">note</t>
  </si>
  <si>
    <t xml:space="preserve">date</t>
  </si>
  <si>
    <t xml:space="preserve">commit</t>
  </si>
  <si>
    <t xml:space="preserve">depth</t>
  </si>
  <si>
    <t xml:space="preserve">moves</t>
  </si>
  <si>
    <t xml:space="preserve">time (msec)</t>
  </si>
  <si>
    <t xml:space="preserve">moves/sec</t>
  </si>
  <si>
    <t xml:space="preserve">gain</t>
  </si>
  <si>
    <t xml:space="preserve">vs target (80M)</t>
  </si>
  <si>
    <t xml:space="preserve">porting c++ piu' qualche miglioria</t>
  </si>
  <si>
    <t xml:space="preserve">miglioria nella moves generator</t>
  </si>
  <si>
    <t xml:space="preserve">undo simulation move</t>
  </si>
  <si>
    <t xml:space="preserve">vector pool</t>
  </si>
  <si>
    <t xml:space="preserve">improved calculateCheckPositions</t>
  </si>
  <si>
    <t xml:space="preserve">moves cache</t>
  </si>
  <si>
    <t xml:space="preserve">linux!</t>
  </si>
  <si>
    <t xml:space="preserve">stockfish livello 1</t>
  </si>
  <si>
    <t xml:space="preserve">vinto</t>
  </si>
  <si>
    <t xml:space="preserve">https://lichess.org/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</si>
</sst>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d/mmm/yyyy;@"/>
    <numFmt numFmtId="166" formatCode="0.00E+00"/>
    <numFmt numFmtId="167" formatCode="#,##0"/>
    <numFmt numFmtId="168" formatCode="0"/>
    <numFmt numFmtId="169" formatCode="0.00%"/>
    <numFmt numFmtId="170" formatCode="m/d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9C5700"/>
      <name val="Calibri"/>
      <family val="2"/>
      <charset val="1"/>
    </font>
    <font>
      <sz val="11"/>
      <color rgb="FF9C57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rgb="FF0061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CCFFFF"/>
      </patternFill>
    </fill>
    <fill>
      <patternFill patternType="solid">
        <fgColor rgb="FFE6E905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7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2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3" borderId="3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4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3" borderId="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3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eutral" xfId="20"/>
    <cellStyle name="Excel Built-in Bad" xfId="21"/>
    <cellStyle name="Excel Built-in Good" xfId="22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5" activeCellId="0" sqref="H35"/>
    </sheetView>
  </sheetViews>
  <sheetFormatPr defaultColWidth="16.1484375" defaultRowHeight="15" zeroHeight="false" outlineLevelRow="0" outlineLevelCol="0"/>
  <cols>
    <col collapsed="false" customWidth="false" hidden="false" outlineLevel="0" max="2" min="2" style="1" width="16.14"/>
    <col collapsed="false" customWidth="true" hidden="false" outlineLevel="0" max="3" min="3" style="0" width="11.57"/>
    <col collapsed="false" customWidth="false" hidden="false" outlineLevel="0" max="8" min="8" style="1" width="16.14"/>
    <col collapsed="false" customWidth="true" hidden="false" outlineLevel="0" max="15" min="15" style="0" width="4.17"/>
  </cols>
  <sheetData>
    <row r="1" customFormat="false" ht="15" hidden="false" customHeight="false" outlineLevel="0" collapsed="false">
      <c r="A1" s="2"/>
      <c r="B1" s="3"/>
      <c r="C1" s="4" t="s">
        <v>0</v>
      </c>
      <c r="D1" s="4"/>
      <c r="E1" s="4"/>
      <c r="F1" s="4"/>
      <c r="G1" s="4"/>
      <c r="H1" s="4"/>
      <c r="I1" s="5" t="s">
        <v>1</v>
      </c>
      <c r="J1" s="5"/>
      <c r="K1" s="5"/>
      <c r="L1" s="5"/>
      <c r="M1" s="5"/>
      <c r="N1" s="5"/>
      <c r="P1" s="6" t="s">
        <v>2</v>
      </c>
    </row>
    <row r="2" customFormat="false" ht="15" hidden="false" customHeight="false" outlineLevel="0" collapsed="false">
      <c r="A2" s="7" t="s">
        <v>3</v>
      </c>
      <c r="B2" s="8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8" t="s">
        <v>10</v>
      </c>
      <c r="I2" s="7" t="s">
        <v>5</v>
      </c>
      <c r="J2" s="7" t="s">
        <v>6</v>
      </c>
      <c r="K2" s="7" t="s">
        <v>7</v>
      </c>
      <c r="L2" s="7" t="s">
        <v>8</v>
      </c>
      <c r="M2" s="7" t="s">
        <v>9</v>
      </c>
      <c r="N2" s="8" t="s">
        <v>10</v>
      </c>
    </row>
    <row r="3" customFormat="false" ht="15" hidden="false" customHeight="false" outlineLevel="0" collapsed="false">
      <c r="A3" s="9" t="n">
        <v>45404</v>
      </c>
      <c r="B3" s="10"/>
      <c r="C3" s="0" t="n">
        <v>4</v>
      </c>
      <c r="D3" s="11" t="n">
        <v>206603</v>
      </c>
      <c r="E3" s="12" t="n">
        <v>1100</v>
      </c>
      <c r="F3" s="11" t="n">
        <f aca="false">D3/E3*1000</f>
        <v>187820.909090909</v>
      </c>
      <c r="H3" s="13" t="n">
        <f aca="false">(F3-80000000)/80000000</f>
        <v>-0.997652238636364</v>
      </c>
      <c r="I3" s="0" t="n">
        <v>4</v>
      </c>
      <c r="J3" s="11" t="n">
        <v>197281</v>
      </c>
      <c r="K3" s="0" t="n">
        <v>62</v>
      </c>
      <c r="L3" s="11" t="n">
        <f aca="false">J3/K3*1000</f>
        <v>3181951.61290323</v>
      </c>
      <c r="N3" s="13" t="n">
        <f aca="false">(L3-80000000)/80000000</f>
        <v>-0.96022560483871</v>
      </c>
    </row>
    <row r="4" customFormat="false" ht="15" hidden="false" customHeight="false" outlineLevel="0" collapsed="false">
      <c r="B4" s="14"/>
      <c r="C4" s="0" t="n">
        <v>5</v>
      </c>
      <c r="D4" s="0" t="n">
        <v>5072212</v>
      </c>
      <c r="E4" s="0" t="n">
        <v>42000</v>
      </c>
      <c r="F4" s="11" t="n">
        <f aca="false">D4/E4*1000</f>
        <v>120766.952380952</v>
      </c>
      <c r="H4" s="13" t="n">
        <f aca="false">(F4-80000000)/80000000</f>
        <v>-0.998490413095238</v>
      </c>
      <c r="I4" s="0" t="n">
        <v>5</v>
      </c>
      <c r="J4" s="11" t="n">
        <v>4880523</v>
      </c>
      <c r="K4" s="0" t="n">
        <v>945</v>
      </c>
      <c r="L4" s="11" t="n">
        <f aca="false">J4/K4*1000</f>
        <v>5164574.6031746</v>
      </c>
      <c r="N4" s="13" t="n">
        <f aca="false">(L4-80000000)/80000000</f>
        <v>-0.935442817460318</v>
      </c>
    </row>
    <row r="6" customFormat="false" ht="15" hidden="false" customHeight="false" outlineLevel="0" collapsed="false">
      <c r="A6" s="15" t="n">
        <v>45553</v>
      </c>
      <c r="B6" s="16"/>
      <c r="C6" s="17" t="n">
        <v>4</v>
      </c>
      <c r="D6" s="18" t="n">
        <v>206603</v>
      </c>
      <c r="E6" s="19" t="n">
        <v>909</v>
      </c>
      <c r="F6" s="18" t="n">
        <f aca="false">D6/E6*1000</f>
        <v>227286.02860286</v>
      </c>
      <c r="G6" s="20" t="n">
        <f aca="false">(E3-E6)/E3</f>
        <v>0.173636363636364</v>
      </c>
      <c r="H6" s="21" t="n">
        <f aca="false">(F6-80000000)/80000000</f>
        <v>-0.997158924642464</v>
      </c>
      <c r="I6" s="2" t="n">
        <v>4</v>
      </c>
      <c r="J6" s="18" t="n">
        <v>197281</v>
      </c>
      <c r="K6" s="2" t="n">
        <v>48</v>
      </c>
      <c r="L6" s="18" t="n">
        <f aca="false">J6/K6*1000</f>
        <v>4110020.83333333</v>
      </c>
      <c r="M6" s="20" t="n">
        <f aca="false">(K3-K6)/K3</f>
        <v>0.225806451612903</v>
      </c>
      <c r="N6" s="21" t="n">
        <f aca="false">(L6-80000000)/80000000</f>
        <v>-0.948624739583333</v>
      </c>
      <c r="P6" s="6" t="s">
        <v>11</v>
      </c>
    </row>
    <row r="7" customFormat="false" ht="15" hidden="false" customHeight="false" outlineLevel="0" collapsed="false">
      <c r="C7" s="0" t="n">
        <v>5</v>
      </c>
      <c r="D7" s="0" t="n">
        <v>5072212</v>
      </c>
      <c r="E7" s="0" t="n">
        <v>34300</v>
      </c>
      <c r="F7" s="11" t="n">
        <f aca="false">D7/E7*1000</f>
        <v>147877.900874636</v>
      </c>
      <c r="G7" s="22" t="n">
        <f aca="false">(E4-E7)/E4</f>
        <v>0.183333333333333</v>
      </c>
      <c r="H7" s="13" t="n">
        <f aca="false">(F7-80000000)/80000000</f>
        <v>-0.998151526239067</v>
      </c>
      <c r="I7" s="0" t="n">
        <v>5</v>
      </c>
      <c r="J7" s="11" t="n">
        <v>4880523</v>
      </c>
      <c r="K7" s="0" t="n">
        <v>727</v>
      </c>
      <c r="L7" s="11" t="n">
        <f aca="false">J7/K7*1000</f>
        <v>6713236.58872077</v>
      </c>
      <c r="M7" s="22" t="n">
        <f aca="false">(K4-K7)/K4</f>
        <v>0.230687830687831</v>
      </c>
      <c r="N7" s="13" t="n">
        <f aca="false">(L7-80000000)/80000000</f>
        <v>-0.91608454264099</v>
      </c>
    </row>
    <row r="8" customFormat="false" ht="15" hidden="false" customHeight="false" outlineLevel="0" collapsed="false">
      <c r="I8" s="0" t="n">
        <v>6</v>
      </c>
      <c r="J8" s="11" t="n">
        <v>119060324</v>
      </c>
      <c r="K8" s="0" t="n">
        <v>29235</v>
      </c>
      <c r="L8" s="11" t="n">
        <f aca="false">J8/K8*1000</f>
        <v>4072526.90268514</v>
      </c>
      <c r="N8" s="13" t="n">
        <f aca="false">(L8-80000000)/80000000</f>
        <v>-0.949093413716436</v>
      </c>
    </row>
    <row r="10" customFormat="false" ht="15" hidden="false" customHeight="false" outlineLevel="0" collapsed="false">
      <c r="A10" s="15" t="n">
        <v>45554</v>
      </c>
      <c r="B10" s="16"/>
      <c r="C10" s="17" t="n">
        <v>4</v>
      </c>
      <c r="D10" s="18" t="n">
        <v>206603</v>
      </c>
      <c r="E10" s="19" t="n">
        <v>822</v>
      </c>
      <c r="F10" s="18" t="n">
        <f aca="false">D10/E10*1000</f>
        <v>251341.849148419</v>
      </c>
      <c r="G10" s="20" t="n">
        <f aca="false">(E6-E10)/E6</f>
        <v>0.0957095709570957</v>
      </c>
      <c r="H10" s="21" t="n">
        <f aca="false">(F10-80000000)/80000000</f>
        <v>-0.996858226885645</v>
      </c>
      <c r="I10" s="2" t="n">
        <v>4</v>
      </c>
      <c r="J10" s="18" t="n">
        <v>197281</v>
      </c>
      <c r="K10" s="2" t="n">
        <v>42</v>
      </c>
      <c r="L10" s="18" t="n">
        <f aca="false">J10/K10*1000</f>
        <v>4697166.66666667</v>
      </c>
      <c r="M10" s="20" t="n">
        <f aca="false">(K6-K10)/K6</f>
        <v>0.125</v>
      </c>
      <c r="N10" s="21" t="n">
        <f aca="false">(L10-80000000)/80000000</f>
        <v>-0.941285416666667</v>
      </c>
      <c r="P10" s="6" t="s">
        <v>12</v>
      </c>
    </row>
    <row r="11" customFormat="false" ht="15" hidden="false" customHeight="false" outlineLevel="0" collapsed="false">
      <c r="C11" s="0" t="n">
        <v>5</v>
      </c>
      <c r="D11" s="0" t="n">
        <v>5072212</v>
      </c>
      <c r="E11" s="0" t="n">
        <v>30566</v>
      </c>
      <c r="F11" s="11" t="n">
        <f aca="false">D11/E11*1000</f>
        <v>165942.943139436</v>
      </c>
      <c r="G11" s="22" t="n">
        <f aca="false">(E7-E11)/E7</f>
        <v>0.108862973760933</v>
      </c>
      <c r="H11" s="13" t="n">
        <f aca="false">(F11-80000000)/80000000</f>
        <v>-0.997925713210757</v>
      </c>
      <c r="I11" s="0" t="n">
        <v>5</v>
      </c>
      <c r="J11" s="11" t="n">
        <v>4880523</v>
      </c>
      <c r="K11" s="0" t="n">
        <v>631</v>
      </c>
      <c r="L11" s="11" t="n">
        <f aca="false">J11/K11*1000</f>
        <v>7734584.78605388</v>
      </c>
      <c r="M11" s="22" t="n">
        <f aca="false">(K7-K11)/K7</f>
        <v>0.132049518569464</v>
      </c>
      <c r="N11" s="13" t="n">
        <f aca="false">(L11-80000000)/80000000</f>
        <v>-0.903317690174327</v>
      </c>
    </row>
    <row r="12" customFormat="false" ht="15" hidden="false" customHeight="false" outlineLevel="0" collapsed="false">
      <c r="I12" s="0" t="n">
        <v>6</v>
      </c>
      <c r="J12" s="11" t="n">
        <v>119060324</v>
      </c>
      <c r="K12" s="0" t="n">
        <v>25861</v>
      </c>
      <c r="L12" s="11" t="n">
        <f aca="false">J12/K12*1000</f>
        <v>4603856.15405437</v>
      </c>
      <c r="M12" s="22" t="n">
        <f aca="false">(K8-K12)/K8</f>
        <v>0.115409611766718</v>
      </c>
      <c r="N12" s="13" t="n">
        <f aca="false">(L12-80000000)/80000000</f>
        <v>-0.94245179807432</v>
      </c>
    </row>
    <row r="14" customFormat="false" ht="15" hidden="false" customHeight="false" outlineLevel="0" collapsed="false">
      <c r="A14" s="15" t="n">
        <v>45557</v>
      </c>
      <c r="B14" s="16"/>
      <c r="C14" s="17" t="n">
        <v>4</v>
      </c>
      <c r="D14" s="18" t="n">
        <v>206603</v>
      </c>
      <c r="E14" s="19" t="n">
        <v>778</v>
      </c>
      <c r="F14" s="18" t="n">
        <f aca="false">D14/E14*1000</f>
        <v>265556.555269923</v>
      </c>
      <c r="G14" s="20" t="n">
        <f aca="false">(E10-E14)/E10</f>
        <v>0.0535279805352798</v>
      </c>
      <c r="H14" s="21" t="n">
        <f aca="false">(F14-80000000)/80000000</f>
        <v>-0.996680543059126</v>
      </c>
      <c r="I14" s="2" t="n">
        <v>4</v>
      </c>
      <c r="J14" s="18" t="n">
        <v>197281</v>
      </c>
      <c r="K14" s="2" t="n">
        <v>42</v>
      </c>
      <c r="L14" s="18" t="n">
        <f aca="false">J14/K14*1000</f>
        <v>4697166.66666667</v>
      </c>
      <c r="M14" s="20" t="n">
        <f aca="false">(K10-K14)/K10</f>
        <v>0</v>
      </c>
      <c r="N14" s="21" t="n">
        <f aca="false">(L14-80000000)/80000000</f>
        <v>-0.941285416666667</v>
      </c>
      <c r="P14" s="6" t="s">
        <v>13</v>
      </c>
    </row>
    <row r="15" customFormat="false" ht="15" hidden="false" customHeight="false" outlineLevel="0" collapsed="false">
      <c r="C15" s="0" t="n">
        <v>5</v>
      </c>
      <c r="D15" s="0" t="n">
        <v>5072212</v>
      </c>
      <c r="E15" s="0" t="n">
        <v>30233</v>
      </c>
      <c r="F15" s="11" t="n">
        <f aca="false">D15/E15*1000</f>
        <v>167770.714120332</v>
      </c>
      <c r="G15" s="22" t="n">
        <f aca="false">(E11-E15)/E11</f>
        <v>0.0108944578943925</v>
      </c>
      <c r="H15" s="13" t="n">
        <f aca="false">(F15-80000000)/80000000</f>
        <v>-0.997902866073496</v>
      </c>
      <c r="I15" s="0" t="n">
        <v>5</v>
      </c>
      <c r="J15" s="11" t="n">
        <v>4880523</v>
      </c>
      <c r="K15" s="0" t="n">
        <v>570</v>
      </c>
      <c r="L15" s="11" t="n">
        <f aca="false">J15/K15*1000</f>
        <v>8562321.05263158</v>
      </c>
      <c r="M15" s="22" t="n">
        <f aca="false">(K11-K15)/K11</f>
        <v>0.0966719492868463</v>
      </c>
      <c r="N15" s="13" t="n">
        <f aca="false">(L15-80000000)/80000000</f>
        <v>-0.892970986842105</v>
      </c>
    </row>
    <row r="16" customFormat="false" ht="15" hidden="false" customHeight="false" outlineLevel="0" collapsed="false">
      <c r="I16" s="0" t="n">
        <v>6</v>
      </c>
      <c r="J16" s="11" t="n">
        <v>119060324</v>
      </c>
      <c r="K16" s="0" t="n">
        <v>25569</v>
      </c>
      <c r="L16" s="11" t="n">
        <f aca="false">J16/K16*1000</f>
        <v>4656432.55504713</v>
      </c>
      <c r="M16" s="22" t="n">
        <f aca="false">(K12-K16)/K12</f>
        <v>0.0112911333668458</v>
      </c>
      <c r="N16" s="13" t="n">
        <f aca="false">(L16-80000000)/80000000</f>
        <v>-0.941794593061911</v>
      </c>
    </row>
    <row r="18" customFormat="false" ht="15" hidden="false" customHeight="false" outlineLevel="0" collapsed="false">
      <c r="A18" s="15" t="n">
        <v>45559</v>
      </c>
      <c r="B18" s="16"/>
      <c r="C18" s="17" t="n">
        <v>4</v>
      </c>
      <c r="D18" s="18" t="n">
        <v>206603</v>
      </c>
      <c r="E18" s="19" t="n">
        <v>641</v>
      </c>
      <c r="F18" s="18" t="n">
        <f aca="false">D18/E18*1000</f>
        <v>322313.572542902</v>
      </c>
      <c r="G18" s="20" t="n">
        <f aca="false">(E14-E18)/E14</f>
        <v>0.176092544987147</v>
      </c>
      <c r="H18" s="21" t="n">
        <f aca="false">(F18-80000000)/80000000</f>
        <v>-0.995971080343214</v>
      </c>
      <c r="I18" s="2" t="n">
        <v>4</v>
      </c>
      <c r="J18" s="18" t="n">
        <v>197281</v>
      </c>
      <c r="K18" s="2" t="n">
        <v>17</v>
      </c>
      <c r="L18" s="18" t="n">
        <f aca="false">J18/K18*1000</f>
        <v>11604764.7058824</v>
      </c>
      <c r="M18" s="20" t="n">
        <f aca="false">(K14-K18)/K14</f>
        <v>0.595238095238095</v>
      </c>
      <c r="N18" s="21" t="n">
        <f aca="false">(L18-80000000)/80000000</f>
        <v>-0.854940441176471</v>
      </c>
      <c r="P18" s="6" t="s">
        <v>14</v>
      </c>
    </row>
    <row r="19" customFormat="false" ht="15" hidden="false" customHeight="false" outlineLevel="0" collapsed="false">
      <c r="C19" s="0" t="n">
        <v>5</v>
      </c>
      <c r="D19" s="0" t="n">
        <v>5072212</v>
      </c>
      <c r="E19" s="0" t="n">
        <v>16048</v>
      </c>
      <c r="F19" s="11" t="n">
        <f aca="false">D19/E19*1000</f>
        <v>316065.054835494</v>
      </c>
      <c r="G19" s="22" t="n">
        <f aca="false">(E15-E19)/E15</f>
        <v>0.469189296464129</v>
      </c>
      <c r="H19" s="13" t="n">
        <f aca="false">(F19-80000000)/80000000</f>
        <v>-0.996049186814556</v>
      </c>
      <c r="I19" s="0" t="n">
        <v>5</v>
      </c>
      <c r="J19" s="11" t="n">
        <v>4880523</v>
      </c>
      <c r="K19" s="0" t="n">
        <v>432</v>
      </c>
      <c r="L19" s="11" t="n">
        <f aca="false">J19/K19*1000</f>
        <v>11297506.9444444</v>
      </c>
      <c r="M19" s="22" t="n">
        <f aca="false">(K15-K19)/K15</f>
        <v>0.242105263157895</v>
      </c>
      <c r="N19" s="13" t="n">
        <f aca="false">(L19-80000000)/80000000</f>
        <v>-0.858781163194444</v>
      </c>
    </row>
    <row r="20" customFormat="false" ht="15" hidden="false" customHeight="false" outlineLevel="0" collapsed="false">
      <c r="I20" s="0" t="n">
        <v>6</v>
      </c>
      <c r="J20" s="11" t="n">
        <v>119060324</v>
      </c>
      <c r="K20" s="0" t="n">
        <v>10799</v>
      </c>
      <c r="L20" s="11" t="n">
        <f aca="false">J20/K20*1000</f>
        <v>11025124.918974</v>
      </c>
      <c r="M20" s="22" t="n">
        <f aca="false">(K16-K20)/K16</f>
        <v>0.577652626227072</v>
      </c>
      <c r="N20" s="13" t="n">
        <f aca="false">(L20-80000000)/80000000</f>
        <v>-0.862185938512825</v>
      </c>
    </row>
    <row r="22" customFormat="false" ht="15" hidden="false" customHeight="false" outlineLevel="0" collapsed="false">
      <c r="A22" s="15" t="n">
        <v>45562</v>
      </c>
      <c r="B22" s="16"/>
      <c r="C22" s="17" t="n">
        <v>4</v>
      </c>
      <c r="D22" s="18" t="n">
        <v>206603</v>
      </c>
      <c r="E22" s="19" t="n">
        <v>595</v>
      </c>
      <c r="F22" s="18" t="n">
        <f aca="false">D22/E22*1000</f>
        <v>347231.932773109</v>
      </c>
      <c r="G22" s="20" t="n">
        <f aca="false">(E18-E22)/E18</f>
        <v>0.0717628705148206</v>
      </c>
      <c r="H22" s="21" t="n">
        <f aca="false">(F22-80000000)/80000000</f>
        <v>-0.995659600840336</v>
      </c>
      <c r="I22" s="2" t="n">
        <v>4</v>
      </c>
      <c r="J22" s="18" t="n">
        <v>197281</v>
      </c>
      <c r="K22" s="2" t="n">
        <v>18</v>
      </c>
      <c r="L22" s="18" t="n">
        <f aca="false">J22/K22*1000</f>
        <v>10960055.5555556</v>
      </c>
      <c r="M22" s="23" t="n">
        <f aca="false">(K18-K22)/K18</f>
        <v>-0.0588235294117647</v>
      </c>
      <c r="N22" s="21" t="n">
        <f aca="false">(L22-80000000)/80000000</f>
        <v>-0.862999305555556</v>
      </c>
      <c r="P22" s="6" t="s">
        <v>15</v>
      </c>
    </row>
    <row r="23" customFormat="false" ht="15" hidden="false" customHeight="false" outlineLevel="0" collapsed="false">
      <c r="C23" s="0" t="n">
        <v>5</v>
      </c>
      <c r="D23" s="0" t="n">
        <v>5072212</v>
      </c>
      <c r="E23" s="0" t="n">
        <v>15248</v>
      </c>
      <c r="F23" s="11" t="n">
        <f aca="false">D23/E23*1000</f>
        <v>332647.691500525</v>
      </c>
      <c r="G23" s="22" t="n">
        <f aca="false">(E19-E23)/E19</f>
        <v>0.0498504486540379</v>
      </c>
      <c r="H23" s="13" t="n">
        <f aca="false">(F23-80000000)/80000000</f>
        <v>-0.995841903856243</v>
      </c>
      <c r="I23" s="0" t="n">
        <v>5</v>
      </c>
      <c r="J23" s="11" t="n">
        <v>4880523</v>
      </c>
      <c r="K23" s="0" t="n">
        <v>435</v>
      </c>
      <c r="L23" s="11" t="n">
        <f aca="false">J23/K23*1000</f>
        <v>11219593.1034483</v>
      </c>
      <c r="M23" s="24" t="n">
        <f aca="false">(K19-K23)/K19</f>
        <v>-0.00694444444444444</v>
      </c>
      <c r="N23" s="13" t="n">
        <f aca="false">(L23-80000000)/80000000</f>
        <v>-0.859755086206897</v>
      </c>
    </row>
    <row r="24" customFormat="false" ht="15" hidden="false" customHeight="false" outlineLevel="0" collapsed="false">
      <c r="I24" s="0" t="n">
        <v>6</v>
      </c>
      <c r="J24" s="11" t="n">
        <v>119060324</v>
      </c>
      <c r="K24" s="0" t="n">
        <v>11539</v>
      </c>
      <c r="L24" s="11" t="n">
        <f aca="false">J24/K24*1000</f>
        <v>10318079.9029379</v>
      </c>
      <c r="M24" s="24" t="n">
        <f aca="false">(K20-K24)/K20</f>
        <v>-0.068524863413279</v>
      </c>
      <c r="N24" s="13" t="n">
        <f aca="false">(L24-80000000)/80000000</f>
        <v>-0.871024001213277</v>
      </c>
    </row>
    <row r="26" customFormat="false" ht="15" hidden="false" customHeight="false" outlineLevel="0" collapsed="false">
      <c r="A26" s="25" t="n">
        <v>45563</v>
      </c>
      <c r="B26" s="26"/>
      <c r="C26" s="27" t="n">
        <v>4</v>
      </c>
      <c r="D26" s="28" t="n">
        <v>206603</v>
      </c>
      <c r="E26" s="29" t="n">
        <v>619</v>
      </c>
      <c r="F26" s="28" t="n">
        <f aca="false">D26/E26*1000</f>
        <v>333768.982229402</v>
      </c>
      <c r="G26" s="23" t="n">
        <f aca="false">(E22-E26)/E22</f>
        <v>-0.0403361344537815</v>
      </c>
      <c r="H26" s="21" t="n">
        <f aca="false">(F26-80000000)/80000000</f>
        <v>-0.995827887722133</v>
      </c>
      <c r="I26" s="30" t="n">
        <v>4</v>
      </c>
      <c r="J26" s="28" t="n">
        <v>197281</v>
      </c>
      <c r="K26" s="30" t="n">
        <v>25</v>
      </c>
      <c r="L26" s="28" t="n">
        <f aca="false">J26/K26*1000</f>
        <v>7891240</v>
      </c>
      <c r="M26" s="23" t="n">
        <f aca="false">(K22-K26)/K22</f>
        <v>-0.388888888888889</v>
      </c>
      <c r="N26" s="21" t="n">
        <f aca="false">(L26-80000000)/80000000</f>
        <v>-0.9013595</v>
      </c>
      <c r="P26" s="31" t="s">
        <v>16</v>
      </c>
    </row>
    <row r="27" customFormat="false" ht="15" hidden="false" customHeight="false" outlineLevel="0" collapsed="false">
      <c r="A27" s="31"/>
      <c r="B27" s="32"/>
      <c r="C27" s="31" t="n">
        <v>5</v>
      </c>
      <c r="D27" s="31" t="n">
        <v>5072212</v>
      </c>
      <c r="E27" s="31" t="n">
        <v>11632</v>
      </c>
      <c r="F27" s="33" t="n">
        <f aca="false">D27/E27*1000</f>
        <v>436056.74002751</v>
      </c>
      <c r="G27" s="22" t="n">
        <f aca="false">(E23-E27)/E23</f>
        <v>0.237145855194124</v>
      </c>
      <c r="H27" s="13" t="n">
        <f aca="false">(F27-80000000)/80000000</f>
        <v>-0.994549290749656</v>
      </c>
      <c r="I27" s="31" t="n">
        <v>5</v>
      </c>
      <c r="J27" s="33" t="n">
        <v>4880523</v>
      </c>
      <c r="K27" s="31" t="n">
        <v>429</v>
      </c>
      <c r="L27" s="33" t="n">
        <f aca="false">J27/K27*1000</f>
        <v>11376510.4895105</v>
      </c>
      <c r="M27" s="22" t="n">
        <f aca="false">(K23-K27)/K23</f>
        <v>0.0137931034482759</v>
      </c>
      <c r="N27" s="13" t="n">
        <f aca="false">(L27-80000000)/80000000</f>
        <v>-0.857793618881119</v>
      </c>
    </row>
    <row r="28" customFormat="false" ht="15" hidden="false" customHeight="false" outlineLevel="0" collapsed="false">
      <c r="A28" s="31"/>
      <c r="B28" s="32"/>
      <c r="C28" s="31"/>
      <c r="D28" s="31"/>
      <c r="E28" s="31"/>
      <c r="F28" s="31"/>
      <c r="G28" s="31"/>
      <c r="H28" s="32"/>
      <c r="I28" s="31" t="n">
        <v>6</v>
      </c>
      <c r="J28" s="33" t="n">
        <v>119060324</v>
      </c>
      <c r="K28" s="31" t="n">
        <v>7892</v>
      </c>
      <c r="L28" s="33" t="n">
        <f aca="false">J28/K28*1000</f>
        <v>15086204.2574759</v>
      </c>
      <c r="M28" s="22" t="n">
        <f aca="false">(K24-K28)/K24</f>
        <v>0.31605858393275</v>
      </c>
      <c r="N28" s="13" t="n">
        <f aca="false">(L28-80000000)/80000000</f>
        <v>-0.811422446781551</v>
      </c>
    </row>
    <row r="29" customFormat="false" ht="15" hidden="false" customHeight="false" outlineLevel="0" collapsed="false">
      <c r="A29" s="31"/>
      <c r="B29" s="32"/>
      <c r="C29" s="31"/>
      <c r="D29" s="31"/>
      <c r="E29" s="31"/>
      <c r="F29" s="31"/>
      <c r="G29" s="31"/>
      <c r="H29" s="32"/>
      <c r="I29" s="31" t="n">
        <v>7</v>
      </c>
      <c r="J29" s="33" t="n">
        <v>3195901860</v>
      </c>
      <c r="K29" s="31" t="n">
        <v>151609</v>
      </c>
      <c r="L29" s="33" t="n">
        <f aca="false">J29/K29*1000</f>
        <v>21079895.3887962</v>
      </c>
      <c r="M29" s="31"/>
      <c r="N29" s="24" t="n">
        <f aca="false">(L29-80000000)/80000000</f>
        <v>-0.736501307640048</v>
      </c>
    </row>
    <row r="31" customFormat="false" ht="15" hidden="false" customHeight="false" outlineLevel="0" collapsed="false">
      <c r="A31" s="15" t="n">
        <v>45568</v>
      </c>
      <c r="B31" s="16"/>
      <c r="C31" s="17" t="n">
        <v>4</v>
      </c>
      <c r="D31" s="18" t="n">
        <v>206603</v>
      </c>
      <c r="E31" s="19" t="n">
        <v>559</v>
      </c>
      <c r="F31" s="18" t="n">
        <f aca="false">D31/E31*1000</f>
        <v>369593.917710197</v>
      </c>
      <c r="G31" s="34" t="n">
        <f aca="false">(E22-E31)/E22</f>
        <v>0.0605042016806723</v>
      </c>
      <c r="H31" s="21" t="n">
        <f aca="false">(F31-80000000)/80000000</f>
        <v>-0.995380076028623</v>
      </c>
      <c r="I31" s="2" t="n">
        <v>4</v>
      </c>
      <c r="J31" s="18" t="n">
        <v>197281</v>
      </c>
      <c r="K31" s="2" t="n">
        <v>18</v>
      </c>
      <c r="L31" s="18" t="n">
        <f aca="false">J31/K31*1000</f>
        <v>10960055.5555556</v>
      </c>
      <c r="M31" s="23" t="n">
        <f aca="false">(K22-K31)/K22</f>
        <v>0</v>
      </c>
      <c r="N31" s="21" t="n">
        <f aca="false">(L31-80000000)/80000000</f>
        <v>-0.862999305555556</v>
      </c>
      <c r="P31" s="6" t="s">
        <v>17</v>
      </c>
    </row>
    <row r="32" customFormat="false" ht="15" hidden="false" customHeight="false" outlineLevel="0" collapsed="false">
      <c r="C32" s="0" t="n">
        <v>5</v>
      </c>
      <c r="D32" s="0" t="n">
        <v>5072212</v>
      </c>
      <c r="E32" s="0" t="n">
        <v>15191</v>
      </c>
      <c r="F32" s="11" t="n">
        <f aca="false">D32/E32*1000</f>
        <v>333895.859390429</v>
      </c>
      <c r="G32" s="22" t="n">
        <f aca="false">(E23-E32)/E23</f>
        <v>0.00373819517313746</v>
      </c>
      <c r="H32" s="13" t="n">
        <f aca="false">(F32-80000000)/80000000</f>
        <v>-0.99582630175762</v>
      </c>
      <c r="I32" s="0" t="n">
        <v>5</v>
      </c>
      <c r="J32" s="11" t="n">
        <v>4880523</v>
      </c>
      <c r="K32" s="0" t="n">
        <v>410</v>
      </c>
      <c r="L32" s="11" t="n">
        <f aca="false">J32/K32*1000</f>
        <v>11903714.6341463</v>
      </c>
      <c r="M32" s="22" t="n">
        <f aca="false">(K23-K32)/K23</f>
        <v>0.0574712643678161</v>
      </c>
      <c r="N32" s="13" t="n">
        <f aca="false">(L32-80000000)/80000000</f>
        <v>-0.851203567073171</v>
      </c>
    </row>
    <row r="33" customFormat="false" ht="15" hidden="false" customHeight="false" outlineLevel="0" collapsed="false">
      <c r="I33" s="0" t="n">
        <v>6</v>
      </c>
      <c r="J33" s="11" t="n">
        <v>119060324</v>
      </c>
      <c r="K33" s="0" t="n">
        <v>11511</v>
      </c>
      <c r="L33" s="11" t="n">
        <f aca="false">J33/K33*1000</f>
        <v>10343178.1773955</v>
      </c>
      <c r="M33" s="22" t="n">
        <f aca="false">(K24-K33)/K24</f>
        <v>0.00242655342750672</v>
      </c>
      <c r="N33" s="13" t="n">
        <f aca="false">(L33-80000000)/80000000</f>
        <v>-0.870710272782556</v>
      </c>
    </row>
    <row r="34" customFormat="false" ht="15" hidden="false" customHeight="false" outlineLevel="0" collapsed="false">
      <c r="J34" s="11"/>
      <c r="L34" s="11"/>
      <c r="N34" s="35"/>
    </row>
  </sheetData>
  <mergeCells count="2">
    <mergeCell ref="C1:H1"/>
    <mergeCell ref="I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12.1484375" defaultRowHeight="15" zeroHeight="false" outlineLevelRow="0" outlineLevelCol="0"/>
  <cols>
    <col collapsed="false" customWidth="true" hidden="false" outlineLevel="0" max="1" min="1" style="0" width="8.42"/>
    <col collapsed="false" customWidth="true" hidden="false" outlineLevel="0" max="2" min="2" style="0" width="16.43"/>
    <col collapsed="false" customWidth="true" hidden="false" outlineLevel="0" max="3" min="3" style="0" width="5.57"/>
    <col collapsed="false" customWidth="true" hidden="false" outlineLevel="0" max="4" min="4" style="0" width="18.42"/>
  </cols>
  <sheetData>
    <row r="1" customFormat="false" ht="15" hidden="false" customHeight="false" outlineLevel="0" collapsed="false">
      <c r="A1" s="36" t="n">
        <v>45393</v>
      </c>
      <c r="B1" s="6" t="s">
        <v>18</v>
      </c>
      <c r="C1" s="6" t="s">
        <v>19</v>
      </c>
      <c r="D1" s="6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2023-07-06T17:20:55Z</dcterms:created>
  <dc:creator>claudio</dc:creator>
  <dc:description/>
  <dc:language>en-US</dc:language>
  <cp:lastModifiedBy/>
  <dcterms:modified xsi:type="dcterms:W3CDTF">2024-10-03T19:47:48Z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