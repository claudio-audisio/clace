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itial Position Single Thread" sheetId="1" state="visible" r:id="rId3"/>
    <sheet name="vs other Enign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<sst xmlns="http://schemas.openxmlformats.org/spreadsheetml/2006/main" count="44" uniqueCount="38">
  <si>
    <t xml:space="preserve">classic</t>
  </si>
  <si>
    <t xml:space="preserve">bulk</t>
  </si>
  <si>
    <t xml:space="preserve">note</t>
  </si>
  <si>
    <t xml:space="preserve">date</t>
  </si>
  <si>
    <t xml:space="preserve">commit</t>
  </si>
  <si>
    <t xml:space="preserve">depth</t>
  </si>
  <si>
    <t xml:space="preserve">moves</t>
  </si>
  <si>
    <t xml:space="preserve">time (msec)</t>
  </si>
  <si>
    <t xml:space="preserve">moves/sec</t>
  </si>
  <si>
    <t xml:space="preserve">gain</t>
  </si>
  <si>
    <t xml:space="preserve">vs target (80M)</t>
  </si>
  <si>
    <t xml:space="preserve">porting c++ piu' qualche miglioria</t>
  </si>
  <si>
    <t xml:space="preserve">miglioria nella moves generator</t>
  </si>
  <si>
    <t xml:space="preserve">undo simulation move</t>
  </si>
  <si>
    <t xml:space="preserve">vector pool</t>
  </si>
  <si>
    <t xml:space="preserve">improved calculateCheckPositions</t>
  </si>
  <si>
    <t xml:space="preserve">moves cache</t>
  </si>
  <si>
    <t xml:space="preserve">linux!</t>
  </si>
  <si>
    <t xml:space="preserve">side</t>
  </si>
  <si>
    <t xml:space="preserve">opposite optimization</t>
  </si>
  <si>
    <t xml:space="preserve">pre-calculation xray attacks</t>
  </si>
  <si>
    <t xml:space="preserve">removed opposite optimization</t>
  </si>
  <si>
    <t xml:space="preserve">moved castling to board</t>
  </si>
  <si>
    <t xml:space="preserve">optimized rollback management</t>
  </si>
  <si>
    <t xml:space="preserve">pawn attacks optimization</t>
  </si>
  <si>
    <t xml:space="preserve">board and opposite caching</t>
  </si>
  <si>
    <t xml:space="preserve">removed branchless on rayattacks</t>
  </si>
  <si>
    <t xml:space="preserve">replaced pool vector with pool array (no board and opposite caching)</t>
  </si>
  <si>
    <t xml:space="preserve">(5932 with board and opposite caching)</t>
  </si>
  <si>
    <t xml:space="preserve">moves cache array</t>
  </si>
  <si>
    <t xml:space="preserve">removed moves calculation from board class</t>
  </si>
  <si>
    <t xml:space="preserve">added functions map for destination calculation</t>
  </si>
  <si>
    <t xml:space="preserve">added pawn attacks functional maps</t>
  </si>
  <si>
    <t xml:space="preserve">replaced unsigned char with unsigned int</t>
  </si>
  <si>
    <t xml:space="preserve">avoided obvious ray attacks calculation on move validation</t>
  </si>
  <si>
    <t xml:space="preserve">stockfish livello 1</t>
  </si>
  <si>
    <t xml:space="preserve">vinto</t>
  </si>
  <si>
    <t xml:space="preserve">https://lichess.org/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</si>
</sst>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[$-409]d/mmm/yyyy;@"/>
    <numFmt numFmtId="166" formatCode="0.00E+00"/>
    <numFmt numFmtId="167" formatCode="#,##0"/>
    <numFmt numFmtId="168" formatCode="0"/>
    <numFmt numFmtId="169" formatCode="0.00%"/>
    <numFmt numFmtId="170" formatCode="m/d/yyyy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9C5700"/>
      <name val="Calibri"/>
      <family val="2"/>
      <charset val="1"/>
    </font>
    <font>
      <sz val="11"/>
      <color rgb="FF9C57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9C0006"/>
      <name val="Calibri"/>
      <family val="2"/>
      <charset val="1"/>
    </font>
    <font>
      <sz val="11"/>
      <color rgb="FF00610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  <fill>
      <patternFill patternType="solid">
        <fgColor rgb="FFFFC7CE"/>
        <bgColor rgb="FFFFEB9C"/>
      </patternFill>
    </fill>
    <fill>
      <patternFill patternType="solid">
        <fgColor rgb="FFC6EFCE"/>
        <bgColor rgb="FFCCFFFF"/>
      </patternFill>
    </fill>
    <fill>
      <patternFill patternType="solid">
        <fgColor rgb="FFE6E905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3" borderId="0" applyFont="true" applyBorder="false" applyAlignment="true" applyProtection="false">
      <alignment horizontal="general" vertical="bottom" textRotation="0" wrapText="false" indent="0" shrinkToFit="false"/>
    </xf>
    <xf numFmtId="164" fontId="8" fillId="4" borderId="0" applyFont="true" applyBorder="false" applyAlignment="true" applyProtection="false">
      <alignment horizontal="general" vertical="bottom" textRotation="0" wrapText="false" indent="0" shrinkToFit="false"/>
    </xf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2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3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2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2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eutral" xfId="20"/>
    <cellStyle name="Excel Built-in Bad" xfId="21"/>
    <cellStyle name="Excel Built-in Good" xfId="22"/>
  </cellStyles>
  <colors>
    <indexedColors>
      <rgbColor rgb="FF000000"/>
      <rgbColor rgb="FFFFFFFF"/>
      <rgbColor rgb="FFFF0000"/>
      <rgbColor rgb="FF00FF00"/>
      <rgbColor rgb="FF0000FF"/>
      <rgbColor rgb="FFE6E905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42" colorId="64" zoomScale="100" zoomScaleNormal="100" zoomScalePageLayoutView="100" workbookViewId="0">
      <selection pane="topLeft" activeCell="P85" activeCellId="0" sqref="P85"/>
    </sheetView>
  </sheetViews>
  <sheetFormatPr defaultColWidth="16.1484375" defaultRowHeight="15" customHeight="true" zeroHeight="false" outlineLevelRow="0" outlineLevelCol="0"/>
  <cols>
    <col collapsed="false" customWidth="false" hidden="false" outlineLevel="0" max="2" min="2" style="1" width="16.14"/>
    <col collapsed="false" customWidth="true" hidden="false" outlineLevel="0" max="3" min="3" style="2" width="11.57"/>
    <col collapsed="false" customWidth="false" hidden="false" outlineLevel="0" max="8" min="8" style="1" width="16.14"/>
    <col collapsed="false" customWidth="true" hidden="false" outlineLevel="0" max="15" min="15" style="2" width="4.17"/>
  </cols>
  <sheetData>
    <row r="1" customFormat="false" ht="15" hidden="false" customHeight="false" outlineLevel="0" collapsed="false">
      <c r="A1" s="3"/>
      <c r="B1" s="4"/>
      <c r="C1" s="5" t="s">
        <v>0</v>
      </c>
      <c r="D1" s="5"/>
      <c r="E1" s="5"/>
      <c r="F1" s="5"/>
      <c r="G1" s="5"/>
      <c r="H1" s="5"/>
      <c r="I1" s="6" t="s">
        <v>1</v>
      </c>
      <c r="J1" s="6"/>
      <c r="K1" s="6"/>
      <c r="L1" s="6"/>
      <c r="M1" s="6"/>
      <c r="N1" s="6"/>
      <c r="P1" s="7" t="s">
        <v>2</v>
      </c>
    </row>
    <row r="2" customFormat="false" ht="15" hidden="false" customHeight="false" outlineLevel="0" collapsed="false">
      <c r="A2" s="8" t="s">
        <v>3</v>
      </c>
      <c r="B2" s="9" t="s">
        <v>4</v>
      </c>
      <c r="C2" s="8" t="s">
        <v>5</v>
      </c>
      <c r="D2" s="8" t="s">
        <v>6</v>
      </c>
      <c r="E2" s="8" t="s">
        <v>7</v>
      </c>
      <c r="F2" s="8" t="s">
        <v>8</v>
      </c>
      <c r="G2" s="8" t="s">
        <v>9</v>
      </c>
      <c r="H2" s="9" t="s">
        <v>10</v>
      </c>
      <c r="I2" s="8" t="s">
        <v>5</v>
      </c>
      <c r="J2" s="8" t="s">
        <v>6</v>
      </c>
      <c r="K2" s="8" t="s">
        <v>7</v>
      </c>
      <c r="L2" s="8" t="s">
        <v>8</v>
      </c>
      <c r="M2" s="8" t="s">
        <v>9</v>
      </c>
      <c r="N2" s="9" t="s">
        <v>10</v>
      </c>
    </row>
    <row r="3" customFormat="false" ht="15" hidden="false" customHeight="false" outlineLevel="0" collapsed="false">
      <c r="A3" s="10" t="n">
        <v>45404</v>
      </c>
      <c r="B3" s="11"/>
      <c r="C3" s="2" t="n">
        <v>4</v>
      </c>
      <c r="D3" s="12" t="n">
        <v>206603</v>
      </c>
      <c r="E3" s="13" t="n">
        <v>1100</v>
      </c>
      <c r="F3" s="12" t="n">
        <f aca="false">D3/E3*1000</f>
        <v>187820.909090909</v>
      </c>
      <c r="H3" s="14" t="n">
        <f aca="false">(F3-80000000)/80000000</f>
        <v>-0.997652238636364</v>
      </c>
      <c r="I3" s="2" t="n">
        <v>4</v>
      </c>
      <c r="J3" s="12" t="n">
        <v>197281</v>
      </c>
      <c r="K3" s="2" t="n">
        <v>62</v>
      </c>
      <c r="L3" s="12" t="n">
        <f aca="false">J3/K3*1000</f>
        <v>3181951.61290323</v>
      </c>
      <c r="N3" s="14" t="n">
        <f aca="false">(L3-80000000)/80000000</f>
        <v>-0.96022560483871</v>
      </c>
    </row>
    <row r="4" customFormat="false" ht="15" hidden="false" customHeight="false" outlineLevel="0" collapsed="false">
      <c r="B4" s="15"/>
      <c r="C4" s="2" t="n">
        <v>5</v>
      </c>
      <c r="D4" s="2" t="n">
        <v>5072212</v>
      </c>
      <c r="E4" s="2" t="n">
        <v>42000</v>
      </c>
      <c r="F4" s="12" t="n">
        <f aca="false">D4/E4*1000</f>
        <v>120766.952380952</v>
      </c>
      <c r="H4" s="14" t="n">
        <f aca="false">(F4-80000000)/80000000</f>
        <v>-0.998490413095238</v>
      </c>
      <c r="I4" s="2" t="n">
        <v>5</v>
      </c>
      <c r="J4" s="12" t="n">
        <v>4880523</v>
      </c>
      <c r="K4" s="2" t="n">
        <v>945</v>
      </c>
      <c r="L4" s="12" t="n">
        <f aca="false">J4/K4*1000</f>
        <v>5164574.6031746</v>
      </c>
      <c r="N4" s="14" t="n">
        <f aca="false">(L4-80000000)/80000000</f>
        <v>-0.935442817460318</v>
      </c>
    </row>
    <row r="6" customFormat="false" ht="15" hidden="false" customHeight="false" outlineLevel="0" collapsed="false">
      <c r="A6" s="16" t="n">
        <v>45553</v>
      </c>
      <c r="B6" s="17"/>
      <c r="C6" s="18" t="n">
        <v>4</v>
      </c>
      <c r="D6" s="19" t="n">
        <v>206603</v>
      </c>
      <c r="E6" s="20" t="n">
        <v>909</v>
      </c>
      <c r="F6" s="19" t="n">
        <f aca="false">D6/E6*1000</f>
        <v>227286.02860286</v>
      </c>
      <c r="G6" s="21" t="n">
        <f aca="false">(E3-E6)/E3</f>
        <v>0.173636363636364</v>
      </c>
      <c r="H6" s="22" t="n">
        <f aca="false">(F6-80000000)/80000000</f>
        <v>-0.997158924642464</v>
      </c>
      <c r="I6" s="3" t="n">
        <v>4</v>
      </c>
      <c r="J6" s="19" t="n">
        <v>197281</v>
      </c>
      <c r="K6" s="3" t="n">
        <v>48</v>
      </c>
      <c r="L6" s="19" t="n">
        <f aca="false">J6/K6*1000</f>
        <v>4110020.83333333</v>
      </c>
      <c r="M6" s="21" t="n">
        <f aca="false">(K3-K6)/K3</f>
        <v>0.225806451612903</v>
      </c>
      <c r="N6" s="22" t="n">
        <f aca="false">(L6-80000000)/80000000</f>
        <v>-0.948624739583333</v>
      </c>
      <c r="P6" s="7" t="s">
        <v>11</v>
      </c>
    </row>
    <row r="7" customFormat="false" ht="15" hidden="false" customHeight="false" outlineLevel="0" collapsed="false">
      <c r="C7" s="2" t="n">
        <v>5</v>
      </c>
      <c r="D7" s="2" t="n">
        <v>5072212</v>
      </c>
      <c r="E7" s="2" t="n">
        <v>34300</v>
      </c>
      <c r="F7" s="12" t="n">
        <f aca="false">D7/E7*1000</f>
        <v>147877.900874636</v>
      </c>
      <c r="G7" s="23" t="n">
        <f aca="false">(E4-E7)/E4</f>
        <v>0.183333333333333</v>
      </c>
      <c r="H7" s="14" t="n">
        <f aca="false">(F7-80000000)/80000000</f>
        <v>-0.998151526239067</v>
      </c>
      <c r="I7" s="2" t="n">
        <v>5</v>
      </c>
      <c r="J7" s="12" t="n">
        <v>4880523</v>
      </c>
      <c r="K7" s="2" t="n">
        <v>727</v>
      </c>
      <c r="L7" s="12" t="n">
        <f aca="false">J7/K7*1000</f>
        <v>6713236.58872077</v>
      </c>
      <c r="M7" s="23" t="n">
        <f aca="false">(K4-K7)/K4</f>
        <v>0.230687830687831</v>
      </c>
      <c r="N7" s="14" t="n">
        <f aca="false">(L7-80000000)/80000000</f>
        <v>-0.91608454264099</v>
      </c>
    </row>
    <row r="8" customFormat="false" ht="15" hidden="false" customHeight="false" outlineLevel="0" collapsed="false">
      <c r="I8" s="2" t="n">
        <v>6</v>
      </c>
      <c r="J8" s="12" t="n">
        <v>119060324</v>
      </c>
      <c r="K8" s="2" t="n">
        <v>29235</v>
      </c>
      <c r="L8" s="12" t="n">
        <f aca="false">J8/K8*1000</f>
        <v>4072526.90268514</v>
      </c>
      <c r="N8" s="14" t="n">
        <f aca="false">(L8-80000000)/80000000</f>
        <v>-0.949093413716436</v>
      </c>
    </row>
    <row r="10" customFormat="false" ht="15" hidden="false" customHeight="false" outlineLevel="0" collapsed="false">
      <c r="A10" s="16" t="n">
        <v>45554</v>
      </c>
      <c r="B10" s="17"/>
      <c r="C10" s="18" t="n">
        <v>4</v>
      </c>
      <c r="D10" s="19" t="n">
        <v>206603</v>
      </c>
      <c r="E10" s="20" t="n">
        <v>822</v>
      </c>
      <c r="F10" s="19" t="n">
        <f aca="false">D10/E10*1000</f>
        <v>251341.849148419</v>
      </c>
      <c r="G10" s="21" t="n">
        <f aca="false">(E6-E10)/E6</f>
        <v>0.0957095709570957</v>
      </c>
      <c r="H10" s="22" t="n">
        <f aca="false">(F10-80000000)/80000000</f>
        <v>-0.996858226885645</v>
      </c>
      <c r="I10" s="3" t="n">
        <v>4</v>
      </c>
      <c r="J10" s="19" t="n">
        <v>197281</v>
      </c>
      <c r="K10" s="3" t="n">
        <v>42</v>
      </c>
      <c r="L10" s="19" t="n">
        <f aca="false">J10/K10*1000</f>
        <v>4697166.66666667</v>
      </c>
      <c r="M10" s="21" t="n">
        <f aca="false">(K6-K10)/K6</f>
        <v>0.125</v>
      </c>
      <c r="N10" s="22" t="n">
        <f aca="false">(L10-80000000)/80000000</f>
        <v>-0.941285416666667</v>
      </c>
      <c r="P10" s="7" t="s">
        <v>12</v>
      </c>
    </row>
    <row r="11" customFormat="false" ht="15" hidden="false" customHeight="false" outlineLevel="0" collapsed="false">
      <c r="C11" s="2" t="n">
        <v>5</v>
      </c>
      <c r="D11" s="2" t="n">
        <v>5072212</v>
      </c>
      <c r="E11" s="2" t="n">
        <v>30566</v>
      </c>
      <c r="F11" s="12" t="n">
        <f aca="false">D11/E11*1000</f>
        <v>165942.943139436</v>
      </c>
      <c r="G11" s="23" t="n">
        <f aca="false">(E7-E11)/E7</f>
        <v>0.108862973760933</v>
      </c>
      <c r="H11" s="14" t="n">
        <f aca="false">(F11-80000000)/80000000</f>
        <v>-0.997925713210757</v>
      </c>
      <c r="I11" s="2" t="n">
        <v>5</v>
      </c>
      <c r="J11" s="12" t="n">
        <v>4880523</v>
      </c>
      <c r="K11" s="2" t="n">
        <v>631</v>
      </c>
      <c r="L11" s="12" t="n">
        <f aca="false">J11/K11*1000</f>
        <v>7734584.78605388</v>
      </c>
      <c r="M11" s="23" t="n">
        <f aca="false">(K7-K11)/K7</f>
        <v>0.132049518569464</v>
      </c>
      <c r="N11" s="14" t="n">
        <f aca="false">(L11-80000000)/80000000</f>
        <v>-0.903317690174327</v>
      </c>
    </row>
    <row r="12" customFormat="false" ht="15" hidden="false" customHeight="false" outlineLevel="0" collapsed="false">
      <c r="I12" s="2" t="n">
        <v>6</v>
      </c>
      <c r="J12" s="12" t="n">
        <v>119060324</v>
      </c>
      <c r="K12" s="2" t="n">
        <v>25861</v>
      </c>
      <c r="L12" s="12" t="n">
        <f aca="false">J12/K12*1000</f>
        <v>4603856.15405437</v>
      </c>
      <c r="M12" s="23" t="n">
        <f aca="false">(K8-K12)/K8</f>
        <v>0.115409611766718</v>
      </c>
      <c r="N12" s="14" t="n">
        <f aca="false">(L12-80000000)/80000000</f>
        <v>-0.94245179807432</v>
      </c>
    </row>
    <row r="14" customFormat="false" ht="15" hidden="false" customHeight="false" outlineLevel="0" collapsed="false">
      <c r="A14" s="16" t="n">
        <v>45557</v>
      </c>
      <c r="B14" s="17"/>
      <c r="C14" s="18" t="n">
        <v>4</v>
      </c>
      <c r="D14" s="19" t="n">
        <v>206603</v>
      </c>
      <c r="E14" s="20" t="n">
        <v>778</v>
      </c>
      <c r="F14" s="19" t="n">
        <f aca="false">D14/E14*1000</f>
        <v>265556.555269923</v>
      </c>
      <c r="G14" s="21" t="n">
        <f aca="false">(E10-E14)/E10</f>
        <v>0.0535279805352798</v>
      </c>
      <c r="H14" s="22" t="n">
        <f aca="false">(F14-80000000)/80000000</f>
        <v>-0.996680543059126</v>
      </c>
      <c r="I14" s="3" t="n">
        <v>4</v>
      </c>
      <c r="J14" s="19" t="n">
        <v>197281</v>
      </c>
      <c r="K14" s="3" t="n">
        <v>42</v>
      </c>
      <c r="L14" s="19" t="n">
        <f aca="false">J14/K14*1000</f>
        <v>4697166.66666667</v>
      </c>
      <c r="M14" s="21" t="n">
        <f aca="false">(K10-K14)/K10</f>
        <v>0</v>
      </c>
      <c r="N14" s="22" t="n">
        <f aca="false">(L14-80000000)/80000000</f>
        <v>-0.941285416666667</v>
      </c>
      <c r="P14" s="7" t="s">
        <v>13</v>
      </c>
    </row>
    <row r="15" customFormat="false" ht="15" hidden="false" customHeight="false" outlineLevel="0" collapsed="false">
      <c r="C15" s="2" t="n">
        <v>5</v>
      </c>
      <c r="D15" s="2" t="n">
        <v>5072212</v>
      </c>
      <c r="E15" s="2" t="n">
        <v>30233</v>
      </c>
      <c r="F15" s="12" t="n">
        <f aca="false">D15/E15*1000</f>
        <v>167770.714120332</v>
      </c>
      <c r="G15" s="23" t="n">
        <f aca="false">(E11-E15)/E11</f>
        <v>0.0108944578943925</v>
      </c>
      <c r="H15" s="14" t="n">
        <f aca="false">(F15-80000000)/80000000</f>
        <v>-0.997902866073496</v>
      </c>
      <c r="I15" s="2" t="n">
        <v>5</v>
      </c>
      <c r="J15" s="12" t="n">
        <v>4880523</v>
      </c>
      <c r="K15" s="2" t="n">
        <v>570</v>
      </c>
      <c r="L15" s="12" t="n">
        <f aca="false">J15/K15*1000</f>
        <v>8562321.05263158</v>
      </c>
      <c r="M15" s="23" t="n">
        <f aca="false">(K11-K15)/K11</f>
        <v>0.0966719492868463</v>
      </c>
      <c r="N15" s="14" t="n">
        <f aca="false">(L15-80000000)/80000000</f>
        <v>-0.892970986842105</v>
      </c>
    </row>
    <row r="16" customFormat="false" ht="15" hidden="false" customHeight="false" outlineLevel="0" collapsed="false">
      <c r="I16" s="2" t="n">
        <v>6</v>
      </c>
      <c r="J16" s="12" t="n">
        <v>119060324</v>
      </c>
      <c r="K16" s="2" t="n">
        <v>25569</v>
      </c>
      <c r="L16" s="12" t="n">
        <f aca="false">J16/K16*1000</f>
        <v>4656432.55504713</v>
      </c>
      <c r="M16" s="23" t="n">
        <f aca="false">(K12-K16)/K12</f>
        <v>0.0112911333668458</v>
      </c>
      <c r="N16" s="14" t="n">
        <f aca="false">(L16-80000000)/80000000</f>
        <v>-0.941794593061911</v>
      </c>
    </row>
    <row r="18" customFormat="false" ht="15" hidden="false" customHeight="false" outlineLevel="0" collapsed="false">
      <c r="A18" s="16" t="n">
        <v>45559</v>
      </c>
      <c r="B18" s="17"/>
      <c r="C18" s="18" t="n">
        <v>4</v>
      </c>
      <c r="D18" s="19" t="n">
        <v>206603</v>
      </c>
      <c r="E18" s="20" t="n">
        <v>641</v>
      </c>
      <c r="F18" s="19" t="n">
        <f aca="false">D18/E18*1000</f>
        <v>322313.572542902</v>
      </c>
      <c r="G18" s="21" t="n">
        <f aca="false">(E14-E18)/E14</f>
        <v>0.176092544987147</v>
      </c>
      <c r="H18" s="22" t="n">
        <f aca="false">(F18-80000000)/80000000</f>
        <v>-0.995971080343214</v>
      </c>
      <c r="I18" s="3" t="n">
        <v>4</v>
      </c>
      <c r="J18" s="19" t="n">
        <v>197281</v>
      </c>
      <c r="K18" s="3" t="n">
        <v>17</v>
      </c>
      <c r="L18" s="19" t="n">
        <f aca="false">J18/K18*1000</f>
        <v>11604764.7058824</v>
      </c>
      <c r="M18" s="21" t="n">
        <f aca="false">(K14-K18)/K14</f>
        <v>0.595238095238095</v>
      </c>
      <c r="N18" s="22" t="n">
        <f aca="false">(L18-80000000)/80000000</f>
        <v>-0.854940441176471</v>
      </c>
      <c r="P18" s="7" t="s">
        <v>14</v>
      </c>
    </row>
    <row r="19" customFormat="false" ht="15" hidden="false" customHeight="false" outlineLevel="0" collapsed="false">
      <c r="C19" s="2" t="n">
        <v>5</v>
      </c>
      <c r="D19" s="2" t="n">
        <v>5072212</v>
      </c>
      <c r="E19" s="2" t="n">
        <v>16048</v>
      </c>
      <c r="F19" s="12" t="n">
        <f aca="false">D19/E19*1000</f>
        <v>316065.054835494</v>
      </c>
      <c r="G19" s="23" t="n">
        <f aca="false">(E15-E19)/E15</f>
        <v>0.469189296464129</v>
      </c>
      <c r="H19" s="14" t="n">
        <f aca="false">(F19-80000000)/80000000</f>
        <v>-0.996049186814556</v>
      </c>
      <c r="I19" s="2" t="n">
        <v>5</v>
      </c>
      <c r="J19" s="12" t="n">
        <v>4880523</v>
      </c>
      <c r="K19" s="2" t="n">
        <v>432</v>
      </c>
      <c r="L19" s="12" t="n">
        <f aca="false">J19/K19*1000</f>
        <v>11297506.9444444</v>
      </c>
      <c r="M19" s="23" t="n">
        <f aca="false">(K15-K19)/K15</f>
        <v>0.242105263157895</v>
      </c>
      <c r="N19" s="14" t="n">
        <f aca="false">(L19-80000000)/80000000</f>
        <v>-0.858781163194444</v>
      </c>
    </row>
    <row r="20" customFormat="false" ht="15" hidden="false" customHeight="false" outlineLevel="0" collapsed="false">
      <c r="I20" s="2" t="n">
        <v>6</v>
      </c>
      <c r="J20" s="12" t="n">
        <v>119060324</v>
      </c>
      <c r="K20" s="2" t="n">
        <v>10799</v>
      </c>
      <c r="L20" s="12" t="n">
        <f aca="false">J20/K20*1000</f>
        <v>11025124.918974</v>
      </c>
      <c r="M20" s="23" t="n">
        <f aca="false">(K16-K20)/K16</f>
        <v>0.577652626227072</v>
      </c>
      <c r="N20" s="14" t="n">
        <f aca="false">(L20-80000000)/80000000</f>
        <v>-0.862185938512825</v>
      </c>
    </row>
    <row r="22" customFormat="false" ht="15" hidden="false" customHeight="false" outlineLevel="0" collapsed="false">
      <c r="A22" s="16" t="n">
        <v>45562</v>
      </c>
      <c r="B22" s="17"/>
      <c r="C22" s="18" t="n">
        <v>4</v>
      </c>
      <c r="D22" s="19" t="n">
        <v>206603</v>
      </c>
      <c r="E22" s="20" t="n">
        <v>595</v>
      </c>
      <c r="F22" s="19" t="n">
        <f aca="false">D22/E22*1000</f>
        <v>347231.932773109</v>
      </c>
      <c r="G22" s="21" t="n">
        <f aca="false">(E18-E22)/E18</f>
        <v>0.0717628705148206</v>
      </c>
      <c r="H22" s="22" t="n">
        <f aca="false">(F22-80000000)/80000000</f>
        <v>-0.995659600840336</v>
      </c>
      <c r="I22" s="3" t="n">
        <v>4</v>
      </c>
      <c r="J22" s="19" t="n">
        <v>197281</v>
      </c>
      <c r="K22" s="3" t="n">
        <v>18</v>
      </c>
      <c r="L22" s="19" t="n">
        <f aca="false">J22/K22*1000</f>
        <v>10960055.5555556</v>
      </c>
      <c r="M22" s="24" t="n">
        <f aca="false">(K18-K22)/K18</f>
        <v>-0.0588235294117647</v>
      </c>
      <c r="N22" s="22" t="n">
        <f aca="false">(L22-80000000)/80000000</f>
        <v>-0.862999305555556</v>
      </c>
      <c r="P22" s="7" t="s">
        <v>15</v>
      </c>
    </row>
    <row r="23" customFormat="false" ht="15" hidden="false" customHeight="false" outlineLevel="0" collapsed="false">
      <c r="C23" s="2" t="n">
        <v>5</v>
      </c>
      <c r="D23" s="2" t="n">
        <v>5072212</v>
      </c>
      <c r="E23" s="2" t="n">
        <v>15248</v>
      </c>
      <c r="F23" s="12" t="n">
        <f aca="false">D23/E23*1000</f>
        <v>332647.691500525</v>
      </c>
      <c r="G23" s="23" t="n">
        <f aca="false">(E19-E23)/E19</f>
        <v>0.0498504486540379</v>
      </c>
      <c r="H23" s="14" t="n">
        <f aca="false">(F23-80000000)/80000000</f>
        <v>-0.995841903856243</v>
      </c>
      <c r="I23" s="2" t="n">
        <v>5</v>
      </c>
      <c r="J23" s="12" t="n">
        <v>4880523</v>
      </c>
      <c r="K23" s="2" t="n">
        <v>435</v>
      </c>
      <c r="L23" s="12" t="n">
        <f aca="false">J23/K23*1000</f>
        <v>11219593.1034483</v>
      </c>
      <c r="M23" s="25" t="n">
        <f aca="false">(K19-K23)/K19</f>
        <v>-0.00694444444444444</v>
      </c>
      <c r="N23" s="14" t="n">
        <f aca="false">(L23-80000000)/80000000</f>
        <v>-0.859755086206897</v>
      </c>
    </row>
    <row r="24" customFormat="false" ht="15" hidden="false" customHeight="false" outlineLevel="0" collapsed="false">
      <c r="I24" s="2" t="n">
        <v>6</v>
      </c>
      <c r="J24" s="12" t="n">
        <v>119060324</v>
      </c>
      <c r="K24" s="2" t="n">
        <v>11539</v>
      </c>
      <c r="L24" s="12" t="n">
        <f aca="false">J24/K24*1000</f>
        <v>10318079.9029379</v>
      </c>
      <c r="M24" s="25" t="n">
        <f aca="false">(K20-K24)/K20</f>
        <v>-0.068524863413279</v>
      </c>
      <c r="N24" s="14" t="n">
        <f aca="false">(L24-80000000)/80000000</f>
        <v>-0.871024001213277</v>
      </c>
    </row>
    <row r="26" customFormat="false" ht="15" hidden="false" customHeight="false" outlineLevel="0" collapsed="false">
      <c r="A26" s="26" t="n">
        <v>45563</v>
      </c>
      <c r="B26" s="27"/>
      <c r="C26" s="28" t="n">
        <v>4</v>
      </c>
      <c r="D26" s="29" t="n">
        <v>206603</v>
      </c>
      <c r="E26" s="30" t="n">
        <v>619</v>
      </c>
      <c r="F26" s="29" t="n">
        <f aca="false">D26/E26*1000</f>
        <v>333768.982229402</v>
      </c>
      <c r="G26" s="24" t="n">
        <f aca="false">(E22-E26)/E22</f>
        <v>-0.0403361344537815</v>
      </c>
      <c r="H26" s="22" t="n">
        <f aca="false">(F26-80000000)/80000000</f>
        <v>-0.995827887722133</v>
      </c>
      <c r="I26" s="31" t="n">
        <v>4</v>
      </c>
      <c r="J26" s="29" t="n">
        <v>197281</v>
      </c>
      <c r="K26" s="31" t="n">
        <v>25</v>
      </c>
      <c r="L26" s="29" t="n">
        <f aca="false">J26/K26*1000</f>
        <v>7891240</v>
      </c>
      <c r="M26" s="24" t="n">
        <f aca="false">(K22-K26)/K22</f>
        <v>-0.388888888888889</v>
      </c>
      <c r="N26" s="22" t="n">
        <f aca="false">(L26-80000000)/80000000</f>
        <v>-0.9013595</v>
      </c>
      <c r="P26" s="32" t="s">
        <v>16</v>
      </c>
    </row>
    <row r="27" customFormat="false" ht="15" hidden="false" customHeight="false" outlineLevel="0" collapsed="false">
      <c r="A27" s="32"/>
      <c r="B27" s="33"/>
      <c r="C27" s="32" t="n">
        <v>5</v>
      </c>
      <c r="D27" s="32" t="n">
        <v>5072212</v>
      </c>
      <c r="E27" s="32" t="n">
        <v>11632</v>
      </c>
      <c r="F27" s="34" t="n">
        <f aca="false">D27/E27*1000</f>
        <v>436056.74002751</v>
      </c>
      <c r="G27" s="23" t="n">
        <f aca="false">(E23-E27)/E23</f>
        <v>0.237145855194124</v>
      </c>
      <c r="H27" s="14" t="n">
        <f aca="false">(F27-80000000)/80000000</f>
        <v>-0.994549290749656</v>
      </c>
      <c r="I27" s="32" t="n">
        <v>5</v>
      </c>
      <c r="J27" s="34" t="n">
        <v>4880523</v>
      </c>
      <c r="K27" s="32" t="n">
        <v>429</v>
      </c>
      <c r="L27" s="34" t="n">
        <f aca="false">J27/K27*1000</f>
        <v>11376510.4895105</v>
      </c>
      <c r="M27" s="23" t="n">
        <f aca="false">(K23-K27)/K23</f>
        <v>0.0137931034482759</v>
      </c>
      <c r="N27" s="14" t="n">
        <f aca="false">(L27-80000000)/80000000</f>
        <v>-0.857793618881119</v>
      </c>
    </row>
    <row r="28" customFormat="false" ht="15" hidden="false" customHeight="false" outlineLevel="0" collapsed="false">
      <c r="A28" s="32"/>
      <c r="B28" s="33"/>
      <c r="C28" s="32"/>
      <c r="D28" s="32"/>
      <c r="E28" s="32"/>
      <c r="F28" s="32"/>
      <c r="G28" s="32"/>
      <c r="H28" s="33"/>
      <c r="I28" s="32" t="n">
        <v>6</v>
      </c>
      <c r="J28" s="34" t="n">
        <v>119060324</v>
      </c>
      <c r="K28" s="32" t="n">
        <v>7892</v>
      </c>
      <c r="L28" s="34" t="n">
        <f aca="false">J28/K28*1000</f>
        <v>15086204.2574759</v>
      </c>
      <c r="M28" s="23" t="n">
        <f aca="false">(K24-K28)/K24</f>
        <v>0.31605858393275</v>
      </c>
      <c r="N28" s="14" t="n">
        <f aca="false">(L28-80000000)/80000000</f>
        <v>-0.811422446781551</v>
      </c>
    </row>
    <row r="29" customFormat="false" ht="15" hidden="false" customHeight="false" outlineLevel="0" collapsed="false">
      <c r="A29" s="32"/>
      <c r="B29" s="33"/>
      <c r="C29" s="32"/>
      <c r="D29" s="32"/>
      <c r="E29" s="32"/>
      <c r="F29" s="32"/>
      <c r="G29" s="32"/>
      <c r="H29" s="33"/>
      <c r="I29" s="32" t="n">
        <v>7</v>
      </c>
      <c r="J29" s="34" t="n">
        <v>3195901860</v>
      </c>
      <c r="K29" s="32" t="n">
        <v>151609</v>
      </c>
      <c r="L29" s="34" t="n">
        <f aca="false">J29/K29*1000</f>
        <v>21079895.3887962</v>
      </c>
      <c r="M29" s="32"/>
      <c r="N29" s="25" t="n">
        <f aca="false">(L29-80000000)/80000000</f>
        <v>-0.736501307640048</v>
      </c>
    </row>
    <row r="31" customFormat="false" ht="15" hidden="false" customHeight="false" outlineLevel="0" collapsed="false">
      <c r="A31" s="16" t="n">
        <v>45568</v>
      </c>
      <c r="B31" s="17"/>
      <c r="C31" s="18" t="n">
        <v>4</v>
      </c>
      <c r="D31" s="19" t="n">
        <v>206603</v>
      </c>
      <c r="E31" s="20" t="n">
        <v>559</v>
      </c>
      <c r="F31" s="19" t="n">
        <f aca="false">D31/E31*1000</f>
        <v>369593.917710197</v>
      </c>
      <c r="G31" s="35" t="n">
        <f aca="false">(E22-E31)/E22</f>
        <v>0.0605042016806723</v>
      </c>
      <c r="H31" s="22" t="n">
        <f aca="false">(F31-80000000)/80000000</f>
        <v>-0.995380076028623</v>
      </c>
      <c r="I31" s="3" t="n">
        <v>4</v>
      </c>
      <c r="J31" s="19" t="n">
        <v>197281</v>
      </c>
      <c r="K31" s="3" t="n">
        <v>18</v>
      </c>
      <c r="L31" s="19" t="n">
        <f aca="false">J31/K31*1000</f>
        <v>10960055.5555556</v>
      </c>
      <c r="M31" s="24" t="n">
        <f aca="false">(K22-K31)/K22</f>
        <v>0</v>
      </c>
      <c r="N31" s="22" t="n">
        <f aca="false">(L31-80000000)/80000000</f>
        <v>-0.862999305555556</v>
      </c>
      <c r="P31" s="7" t="s">
        <v>17</v>
      </c>
    </row>
    <row r="32" customFormat="false" ht="15" hidden="false" customHeight="false" outlineLevel="0" collapsed="false">
      <c r="C32" s="2" t="n">
        <v>5</v>
      </c>
      <c r="D32" s="2" t="n">
        <v>5072212</v>
      </c>
      <c r="E32" s="2" t="n">
        <v>15191</v>
      </c>
      <c r="F32" s="12" t="n">
        <f aca="false">D32/E32*1000</f>
        <v>333895.859390429</v>
      </c>
      <c r="G32" s="23" t="n">
        <f aca="false">(E23-E32)/E23</f>
        <v>0.00373819517313746</v>
      </c>
      <c r="H32" s="14" t="n">
        <f aca="false">(F32-80000000)/80000000</f>
        <v>-0.99582630175762</v>
      </c>
      <c r="I32" s="2" t="n">
        <v>5</v>
      </c>
      <c r="J32" s="12" t="n">
        <v>4880523</v>
      </c>
      <c r="K32" s="2" t="n">
        <v>410</v>
      </c>
      <c r="L32" s="12" t="n">
        <f aca="false">J32/K32*1000</f>
        <v>11903714.6341463</v>
      </c>
      <c r="M32" s="23" t="n">
        <f aca="false">(K23-K32)/K23</f>
        <v>0.0574712643678161</v>
      </c>
      <c r="N32" s="14" t="n">
        <f aca="false">(L32-80000000)/80000000</f>
        <v>-0.851203567073171</v>
      </c>
    </row>
    <row r="33" customFormat="false" ht="15" hidden="false" customHeight="false" outlineLevel="0" collapsed="false">
      <c r="I33" s="2" t="n">
        <v>6</v>
      </c>
      <c r="J33" s="12" t="n">
        <v>119060324</v>
      </c>
      <c r="K33" s="2" t="n">
        <v>11511</v>
      </c>
      <c r="L33" s="12" t="n">
        <f aca="false">J33/K33*1000</f>
        <v>10343178.1773955</v>
      </c>
      <c r="M33" s="23" t="n">
        <f aca="false">(K24-K33)/K24</f>
        <v>0.00242655342750672</v>
      </c>
      <c r="N33" s="14" t="n">
        <f aca="false">(L33-80000000)/80000000</f>
        <v>-0.870710272782556</v>
      </c>
    </row>
    <row r="34" customFormat="false" ht="15" hidden="false" customHeight="false" outlineLevel="0" collapsed="false">
      <c r="J34" s="12"/>
      <c r="L34" s="12"/>
      <c r="N34" s="36"/>
    </row>
    <row r="35" customFormat="false" ht="15" hidden="false" customHeight="false" outlineLevel="0" collapsed="false">
      <c r="A35" s="16" t="n">
        <v>45569</v>
      </c>
      <c r="B35" s="17"/>
      <c r="C35" s="18" t="n">
        <v>4</v>
      </c>
      <c r="D35" s="19" t="n">
        <v>206603</v>
      </c>
      <c r="E35" s="20" t="n">
        <v>607</v>
      </c>
      <c r="F35" s="19" t="n">
        <f aca="false">D35/E35*1000</f>
        <v>340367.380560132</v>
      </c>
      <c r="G35" s="22" t="n">
        <f aca="false">(E31-E35)/E31</f>
        <v>-0.0858676207513417</v>
      </c>
      <c r="H35" s="22" t="n">
        <f aca="false">(F35-80000000)/80000000</f>
        <v>-0.995745407742998</v>
      </c>
      <c r="I35" s="3" t="n">
        <v>4</v>
      </c>
      <c r="J35" s="19" t="n">
        <v>197281</v>
      </c>
      <c r="K35" s="3" t="n">
        <v>18</v>
      </c>
      <c r="L35" s="19" t="n">
        <f aca="false">J35/K35*1000</f>
        <v>10960055.5555556</v>
      </c>
      <c r="M35" s="24" t="n">
        <f aca="false">(K31-K35)/K31</f>
        <v>0</v>
      </c>
      <c r="N35" s="22" t="n">
        <f aca="false">(L35-80000000)/80000000</f>
        <v>-0.862999305555556</v>
      </c>
      <c r="P35" s="7" t="s">
        <v>18</v>
      </c>
    </row>
    <row r="36" customFormat="false" ht="15" hidden="false" customHeight="false" outlineLevel="0" collapsed="false">
      <c r="C36" s="2" t="n">
        <v>5</v>
      </c>
      <c r="D36" s="2" t="n">
        <v>5072212</v>
      </c>
      <c r="E36" s="2" t="n">
        <v>15083</v>
      </c>
      <c r="F36" s="12" t="n">
        <f aca="false">D36/E36*1000</f>
        <v>336286.680368627</v>
      </c>
      <c r="G36" s="23" t="n">
        <f aca="false">(E32-E36)/E32</f>
        <v>0.00710947271410704</v>
      </c>
      <c r="H36" s="14" t="n">
        <f aca="false">(F36-80000000)/80000000</f>
        <v>-0.995796416495392</v>
      </c>
      <c r="I36" s="2" t="n">
        <v>5</v>
      </c>
      <c r="J36" s="12" t="n">
        <v>4880523</v>
      </c>
      <c r="K36" s="2" t="n">
        <v>452</v>
      </c>
      <c r="L36" s="12" t="n">
        <f aca="false">J36/K36*1000</f>
        <v>10797617.2566372</v>
      </c>
      <c r="M36" s="14" t="n">
        <f aca="false">(K32-K36)/K32</f>
        <v>-0.102439024390244</v>
      </c>
      <c r="N36" s="14" t="n">
        <f aca="false">(L36-80000000)/80000000</f>
        <v>-0.865029784292035</v>
      </c>
    </row>
    <row r="37" customFormat="false" ht="15" hidden="false" customHeight="false" outlineLevel="0" collapsed="false">
      <c r="I37" s="2" t="n">
        <v>6</v>
      </c>
      <c r="J37" s="12" t="n">
        <v>119060324</v>
      </c>
      <c r="K37" s="2" t="n">
        <v>11322</v>
      </c>
      <c r="L37" s="12" t="n">
        <f aca="false">J37/K37*1000</f>
        <v>10515838.5444268</v>
      </c>
      <c r="M37" s="23" t="n">
        <f aca="false">(K33-K37)/K33</f>
        <v>0.0164190774042221</v>
      </c>
      <c r="N37" s="14" t="n">
        <f aca="false">(L37-80000000)/80000000</f>
        <v>-0.868552018194665</v>
      </c>
    </row>
    <row r="39" customFormat="false" ht="15" hidden="false" customHeight="false" outlineLevel="0" collapsed="false">
      <c r="A39" s="16" t="n">
        <v>45572</v>
      </c>
      <c r="B39" s="17"/>
      <c r="C39" s="18" t="n">
        <v>4</v>
      </c>
      <c r="D39" s="19" t="n">
        <v>206603</v>
      </c>
      <c r="E39" s="20" t="n">
        <v>558</v>
      </c>
      <c r="F39" s="19" t="n">
        <f aca="false">D39/E39*1000</f>
        <v>370256.272401434</v>
      </c>
      <c r="G39" s="35" t="n">
        <f aca="false">(E35-E39)/E35</f>
        <v>0.0807248764415156</v>
      </c>
      <c r="H39" s="22" t="n">
        <f aca="false">(F39-80000000)/80000000</f>
        <v>-0.995371796594982</v>
      </c>
      <c r="I39" s="3" t="n">
        <v>4</v>
      </c>
      <c r="J39" s="19" t="n">
        <v>197281</v>
      </c>
      <c r="K39" s="3" t="n">
        <v>16</v>
      </c>
      <c r="L39" s="19" t="n">
        <f aca="false">J39/K39*1000</f>
        <v>12330062.5</v>
      </c>
      <c r="M39" s="35" t="n">
        <f aca="false">(K35-K39)/K35</f>
        <v>0.111111111111111</v>
      </c>
      <c r="N39" s="22" t="n">
        <f aca="false">(L39-80000000)/80000000</f>
        <v>-0.84587421875</v>
      </c>
      <c r="P39" s="7" t="s">
        <v>19</v>
      </c>
    </row>
    <row r="40" customFormat="false" ht="15" hidden="false" customHeight="false" outlineLevel="0" collapsed="false">
      <c r="C40" s="2" t="n">
        <v>5</v>
      </c>
      <c r="D40" s="2" t="n">
        <v>5072212</v>
      </c>
      <c r="E40" s="2" t="n">
        <v>13803</v>
      </c>
      <c r="F40" s="12" t="n">
        <f aca="false">D40/E40*1000</f>
        <v>367471.709048758</v>
      </c>
      <c r="G40" s="23" t="n">
        <f aca="false">(E36-E40)/E36</f>
        <v>0.0848637538951137</v>
      </c>
      <c r="H40" s="14" t="n">
        <f aca="false">(F40-80000000)/80000000</f>
        <v>-0.995406603636891</v>
      </c>
      <c r="I40" s="2" t="n">
        <v>5</v>
      </c>
      <c r="J40" s="12" t="n">
        <v>4880523</v>
      </c>
      <c r="K40" s="2" t="n">
        <v>401</v>
      </c>
      <c r="L40" s="12" t="n">
        <f aca="false">J40/K40*1000</f>
        <v>12170880.2992519</v>
      </c>
      <c r="M40" s="23" t="n">
        <f aca="false">(K36-K40)/K36</f>
        <v>0.11283185840708</v>
      </c>
      <c r="N40" s="14" t="n">
        <f aca="false">(L40-80000000)/80000000</f>
        <v>-0.847863996259352</v>
      </c>
    </row>
    <row r="41" customFormat="false" ht="15" hidden="false" customHeight="false" outlineLevel="0" collapsed="false">
      <c r="I41" s="2" t="n">
        <v>6</v>
      </c>
      <c r="J41" s="12" t="n">
        <v>119060324</v>
      </c>
      <c r="K41" s="2" t="n">
        <v>9995</v>
      </c>
      <c r="L41" s="12" t="n">
        <f aca="false">J41/K41*1000</f>
        <v>11911988.3941971</v>
      </c>
      <c r="M41" s="23" t="n">
        <f aca="false">(K37-K41)/K37</f>
        <v>0.117205440734853</v>
      </c>
      <c r="N41" s="14" t="n">
        <f aca="false">(L41-80000000)/80000000</f>
        <v>-0.851100145072536</v>
      </c>
    </row>
    <row r="43" customFormat="false" ht="15" hidden="false" customHeight="false" outlineLevel="0" collapsed="false">
      <c r="A43" s="16" t="n">
        <v>45578</v>
      </c>
      <c r="B43" s="17"/>
      <c r="C43" s="18" t="n">
        <v>4</v>
      </c>
      <c r="D43" s="19" t="n">
        <v>206603</v>
      </c>
      <c r="E43" s="20" t="n">
        <v>515</v>
      </c>
      <c r="F43" s="19" t="n">
        <f aca="false">D43/E43*1000</f>
        <v>401170.873786408</v>
      </c>
      <c r="G43" s="35" t="n">
        <f aca="false">(E39-E43)/E39</f>
        <v>0.0770609318996416</v>
      </c>
      <c r="H43" s="22" t="n">
        <f aca="false">(F43-80000000)/80000000</f>
        <v>-0.99498536407767</v>
      </c>
      <c r="I43" s="3" t="n">
        <v>4</v>
      </c>
      <c r="J43" s="19" t="n">
        <v>197281</v>
      </c>
      <c r="K43" s="3" t="n">
        <v>15</v>
      </c>
      <c r="L43" s="19" t="n">
        <f aca="false">J43/K43*1000</f>
        <v>13152066.6666667</v>
      </c>
      <c r="M43" s="35" t="n">
        <f aca="false">(K39-K43)/K39</f>
        <v>0.0625</v>
      </c>
      <c r="N43" s="22" t="n">
        <f aca="false">(L43-80000000)/80000000</f>
        <v>-0.835599166666667</v>
      </c>
      <c r="P43" s="7" t="s">
        <v>20</v>
      </c>
    </row>
    <row r="44" customFormat="false" ht="15" hidden="false" customHeight="false" outlineLevel="0" collapsed="false">
      <c r="C44" s="2" t="n">
        <v>5</v>
      </c>
      <c r="D44" s="2" t="n">
        <v>5072212</v>
      </c>
      <c r="E44" s="2" t="n">
        <v>12788</v>
      </c>
      <c r="F44" s="12" t="n">
        <f aca="false">D44/E44*1000</f>
        <v>396638.411010322</v>
      </c>
      <c r="G44" s="23" t="n">
        <f aca="false">(E40-E44)/E40</f>
        <v>0.0735347388248931</v>
      </c>
      <c r="H44" s="14" t="n">
        <f aca="false">(F44-80000000)/80000000</f>
        <v>-0.995042019862371</v>
      </c>
      <c r="I44" s="2" t="n">
        <v>5</v>
      </c>
      <c r="J44" s="12" t="n">
        <v>4880523</v>
      </c>
      <c r="K44" s="2" t="n">
        <v>379</v>
      </c>
      <c r="L44" s="12" t="n">
        <f aca="false">J44/K44*1000</f>
        <v>12877369.3931398</v>
      </c>
      <c r="M44" s="23" t="n">
        <f aca="false">(K40-K44)/K40</f>
        <v>0.0548628428927681</v>
      </c>
      <c r="N44" s="14" t="n">
        <f aca="false">(L44-80000000)/80000000</f>
        <v>-0.839032882585752</v>
      </c>
      <c r="P44" s="7" t="s">
        <v>21</v>
      </c>
    </row>
    <row r="45" customFormat="false" ht="15" hidden="false" customHeight="false" outlineLevel="0" collapsed="false">
      <c r="I45" s="2" t="n">
        <v>6</v>
      </c>
      <c r="J45" s="12" t="n">
        <v>119060324</v>
      </c>
      <c r="K45" s="2" t="n">
        <v>9359</v>
      </c>
      <c r="L45" s="12" t="n">
        <f aca="false">J45/K45*1000</f>
        <v>12721479.2178652</v>
      </c>
      <c r="M45" s="23" t="n">
        <f aca="false">(K41-K45)/K41</f>
        <v>0.063631815907954</v>
      </c>
      <c r="N45" s="14" t="n">
        <f aca="false">(L45-80000000)/80000000</f>
        <v>-0.840981509776686</v>
      </c>
    </row>
    <row r="47" customFormat="false" ht="15" hidden="false" customHeight="false" outlineLevel="0" collapsed="false">
      <c r="A47" s="16" t="n">
        <v>45584</v>
      </c>
      <c r="B47" s="17"/>
      <c r="C47" s="18" t="n">
        <v>4</v>
      </c>
      <c r="D47" s="19" t="n">
        <v>206603</v>
      </c>
      <c r="E47" s="20" t="n">
        <v>493</v>
      </c>
      <c r="F47" s="19" t="n">
        <f aca="false">D47/E47*1000</f>
        <v>419073.022312373</v>
      </c>
      <c r="G47" s="35" t="n">
        <f aca="false">(E43-E47)/E43</f>
        <v>0.0427184466019418</v>
      </c>
      <c r="H47" s="22" t="n">
        <f aca="false">(F47-80000000)/80000000</f>
        <v>-0.994761587221095</v>
      </c>
      <c r="I47" s="3" t="n">
        <v>4</v>
      </c>
      <c r="J47" s="19" t="n">
        <v>197281</v>
      </c>
      <c r="K47" s="3" t="n">
        <v>14</v>
      </c>
      <c r="L47" s="19" t="n">
        <f aca="false">J47/K47*1000</f>
        <v>14091500</v>
      </c>
      <c r="M47" s="35" t="n">
        <f aca="false">(K43-K47)/K43</f>
        <v>0.0666666666666667</v>
      </c>
      <c r="N47" s="22" t="n">
        <f aca="false">(L47-80000000)/80000000</f>
        <v>-0.82385625</v>
      </c>
      <c r="P47" s="7" t="s">
        <v>22</v>
      </c>
    </row>
    <row r="48" customFormat="false" ht="15" hidden="false" customHeight="false" outlineLevel="0" collapsed="false">
      <c r="C48" s="2" t="n">
        <v>5</v>
      </c>
      <c r="D48" s="2" t="n">
        <v>5072212</v>
      </c>
      <c r="E48" s="2" t="n">
        <v>12183</v>
      </c>
      <c r="F48" s="12" t="n">
        <f aca="false">D48/E48*1000</f>
        <v>416335.221209883</v>
      </c>
      <c r="G48" s="23" t="n">
        <f aca="false">(E44-E48)/E44</f>
        <v>0.047309978104473</v>
      </c>
      <c r="H48" s="14" t="n">
        <f aca="false">(F48-80000000)/80000000</f>
        <v>-0.994795809734877</v>
      </c>
      <c r="I48" s="2" t="n">
        <v>5</v>
      </c>
      <c r="J48" s="12" t="n">
        <v>4880523</v>
      </c>
      <c r="K48" s="2" t="n">
        <v>363</v>
      </c>
      <c r="L48" s="12" t="n">
        <f aca="false">J48/K48*1000</f>
        <v>13444966.9421488</v>
      </c>
      <c r="M48" s="23" t="n">
        <f aca="false">(K44-K48)/K44</f>
        <v>0.0422163588390501</v>
      </c>
      <c r="N48" s="14" t="n">
        <f aca="false">(L48-80000000)/80000000</f>
        <v>-0.831937913223141</v>
      </c>
    </row>
    <row r="49" customFormat="false" ht="15" hidden="false" customHeight="false" outlineLevel="0" collapsed="false">
      <c r="I49" s="2" t="n">
        <v>6</v>
      </c>
      <c r="J49" s="12" t="n">
        <v>119060324</v>
      </c>
      <c r="K49" s="2" t="n">
        <v>8957</v>
      </c>
      <c r="L49" s="12" t="n">
        <f aca="false">J49/K49*1000</f>
        <v>13292433.1807525</v>
      </c>
      <c r="M49" s="23" t="n">
        <f aca="false">(K45-K49)/K45</f>
        <v>0.0429533069772412</v>
      </c>
      <c r="N49" s="14" t="n">
        <f aca="false">(L49-80000000)/80000000</f>
        <v>-0.833844585240594</v>
      </c>
    </row>
    <row r="51" customFormat="false" ht="15" hidden="false" customHeight="false" outlineLevel="0" collapsed="false">
      <c r="A51" s="16" t="n">
        <v>45590</v>
      </c>
      <c r="B51" s="17"/>
      <c r="C51" s="18" t="n">
        <v>4</v>
      </c>
      <c r="D51" s="19" t="n">
        <v>206603</v>
      </c>
      <c r="E51" s="20" t="n">
        <v>470</v>
      </c>
      <c r="F51" s="19" t="n">
        <f aca="false">D51/E51*1000</f>
        <v>439580.85106383</v>
      </c>
      <c r="G51" s="35" t="n">
        <f aca="false">(E47-E51)/E47</f>
        <v>0.0466531440162272</v>
      </c>
      <c r="H51" s="22" t="n">
        <f aca="false">(F51-80000000)/80000000</f>
        <v>-0.994505239361702</v>
      </c>
      <c r="I51" s="3" t="n">
        <v>4</v>
      </c>
      <c r="J51" s="19" t="n">
        <v>197281</v>
      </c>
      <c r="K51" s="3" t="n">
        <v>14</v>
      </c>
      <c r="L51" s="19" t="n">
        <f aca="false">J51/K51*1000</f>
        <v>14091500</v>
      </c>
      <c r="M51" s="35" t="n">
        <f aca="false">(K47-K51)/K47</f>
        <v>0</v>
      </c>
      <c r="N51" s="22" t="n">
        <f aca="false">(L51-80000000)/80000000</f>
        <v>-0.82385625</v>
      </c>
      <c r="P51" s="7" t="s">
        <v>23</v>
      </c>
    </row>
    <row r="52" customFormat="false" ht="15" hidden="false" customHeight="false" outlineLevel="0" collapsed="false">
      <c r="C52" s="2" t="n">
        <v>5</v>
      </c>
      <c r="D52" s="2" t="n">
        <v>5072212</v>
      </c>
      <c r="E52" s="2" t="n">
        <v>11779</v>
      </c>
      <c r="F52" s="12" t="n">
        <f aca="false">D52/E52*1000</f>
        <v>430614.822990067</v>
      </c>
      <c r="G52" s="23" t="n">
        <f aca="false">(E48-E52)/E48</f>
        <v>0.0331609619962242</v>
      </c>
      <c r="H52" s="14" t="n">
        <f aca="false">(F52-80000000)/80000000</f>
        <v>-0.994617314712624</v>
      </c>
      <c r="I52" s="2" t="n">
        <v>5</v>
      </c>
      <c r="J52" s="12" t="n">
        <v>4880523</v>
      </c>
      <c r="K52" s="2" t="n">
        <v>339</v>
      </c>
      <c r="L52" s="12" t="n">
        <f aca="false">J52/K52*1000</f>
        <v>14396823.0088496</v>
      </c>
      <c r="M52" s="23" t="n">
        <f aca="false">(K48-K52)/K48</f>
        <v>0.0661157024793388</v>
      </c>
      <c r="N52" s="14" t="n">
        <f aca="false">(L52-80000000)/80000000</f>
        <v>-0.82003971238938</v>
      </c>
    </row>
    <row r="53" customFormat="false" ht="15" hidden="false" customHeight="false" outlineLevel="0" collapsed="false">
      <c r="I53" s="2" t="n">
        <v>6</v>
      </c>
      <c r="J53" s="12" t="n">
        <v>119060324</v>
      </c>
      <c r="K53" s="2" t="n">
        <v>8589</v>
      </c>
      <c r="L53" s="12" t="n">
        <f aca="false">J53/K53*1000</f>
        <v>13861954.1273722</v>
      </c>
      <c r="M53" s="23" t="n">
        <f aca="false">(K49-K53)/K49</f>
        <v>0.041085184771687</v>
      </c>
      <c r="N53" s="14" t="n">
        <f aca="false">(L53-80000000)/80000000</f>
        <v>-0.826725573407847</v>
      </c>
    </row>
    <row r="55" customFormat="false" ht="15" hidden="false" customHeight="false" outlineLevel="0" collapsed="false">
      <c r="A55" s="16" t="n">
        <v>45590</v>
      </c>
      <c r="B55" s="17"/>
      <c r="C55" s="18" t="n">
        <v>4</v>
      </c>
      <c r="D55" s="19" t="n">
        <v>206603</v>
      </c>
      <c r="E55" s="20" t="n">
        <v>429</v>
      </c>
      <c r="F55" s="19" t="n">
        <f aca="false">D55/E55*1000</f>
        <v>481592.074592075</v>
      </c>
      <c r="G55" s="35" t="n">
        <f aca="false">(E51-E55)/E51</f>
        <v>0.0872340425531915</v>
      </c>
      <c r="H55" s="22" t="n">
        <f aca="false">(F55-80000000)/80000000</f>
        <v>-0.993980099067599</v>
      </c>
      <c r="I55" s="3" t="n">
        <v>4</v>
      </c>
      <c r="J55" s="19" t="n">
        <v>197281</v>
      </c>
      <c r="K55" s="3" t="n">
        <v>12</v>
      </c>
      <c r="L55" s="19" t="n">
        <f aca="false">J55/K55*1000</f>
        <v>16440083.3333333</v>
      </c>
      <c r="M55" s="35" t="n">
        <f aca="false">(K51-K55)/K51</f>
        <v>0.142857142857143</v>
      </c>
      <c r="N55" s="22" t="n">
        <f aca="false">(L55-80000000)/80000000</f>
        <v>-0.794498958333333</v>
      </c>
      <c r="P55" s="7" t="s">
        <v>24</v>
      </c>
    </row>
    <row r="56" customFormat="false" ht="15" hidden="false" customHeight="false" outlineLevel="0" collapsed="false">
      <c r="C56" s="2" t="n">
        <v>5</v>
      </c>
      <c r="D56" s="2" t="n">
        <v>5072212</v>
      </c>
      <c r="E56" s="2" t="n">
        <v>10588</v>
      </c>
      <c r="F56" s="12" t="n">
        <f aca="false">D56/E56*1000</f>
        <v>479052.890064224</v>
      </c>
      <c r="G56" s="23" t="n">
        <f aca="false">(E52-E56)/E52</f>
        <v>0.101112148739282</v>
      </c>
      <c r="H56" s="14" t="n">
        <f aca="false">(F56-80000000)/80000000</f>
        <v>-0.994011838874197</v>
      </c>
      <c r="I56" s="2" t="n">
        <v>5</v>
      </c>
      <c r="J56" s="12" t="n">
        <v>4880523</v>
      </c>
      <c r="K56" s="2" t="n">
        <v>294</v>
      </c>
      <c r="L56" s="12" t="n">
        <f aca="false">J56/K56*1000</f>
        <v>16600418.3673469</v>
      </c>
      <c r="M56" s="23" t="n">
        <f aca="false">(K52-K56)/K52</f>
        <v>0.132743362831858</v>
      </c>
      <c r="N56" s="14" t="n">
        <f aca="false">(L56-80000000)/80000000</f>
        <v>-0.792494770408163</v>
      </c>
    </row>
    <row r="57" customFormat="false" ht="15" hidden="false" customHeight="false" outlineLevel="0" collapsed="false">
      <c r="I57" s="2" t="n">
        <v>6</v>
      </c>
      <c r="J57" s="12" t="n">
        <v>119060324</v>
      </c>
      <c r="K57" s="2" t="n">
        <v>7334</v>
      </c>
      <c r="L57" s="12" t="n">
        <f aca="false">J57/K57*1000</f>
        <v>16234022.9070085</v>
      </c>
      <c r="M57" s="23" t="n">
        <f aca="false">(K53-K57)/K53</f>
        <v>0.146117126557224</v>
      </c>
      <c r="N57" s="14" t="n">
        <f aca="false">(L57-80000000)/80000000</f>
        <v>-0.797074713662394</v>
      </c>
    </row>
    <row r="59" customFormat="false" ht="15" hidden="false" customHeight="false" outlineLevel="0" collapsed="false">
      <c r="A59" s="16" t="n">
        <v>45590</v>
      </c>
      <c r="B59" s="17"/>
      <c r="C59" s="18" t="n">
        <v>4</v>
      </c>
      <c r="D59" s="19" t="n">
        <v>206603</v>
      </c>
      <c r="E59" s="20" t="n">
        <v>422</v>
      </c>
      <c r="F59" s="19" t="n">
        <f aca="false">D59/E59*1000</f>
        <v>489580.568720379</v>
      </c>
      <c r="G59" s="35" t="n">
        <f aca="false">(E55-E59)/E55</f>
        <v>0.0163170163170163</v>
      </c>
      <c r="H59" s="22" t="n">
        <f aca="false">(F59-80000000)/80000000</f>
        <v>-0.993880242890995</v>
      </c>
      <c r="I59" s="3" t="n">
        <v>4</v>
      </c>
      <c r="J59" s="19" t="n">
        <v>197281</v>
      </c>
      <c r="K59" s="3" t="n">
        <v>11</v>
      </c>
      <c r="L59" s="19" t="n">
        <f aca="false">J59/K59*1000</f>
        <v>17934636.3636364</v>
      </c>
      <c r="M59" s="35" t="n">
        <f aca="false">(K55-K59)/K55</f>
        <v>0.0833333333333333</v>
      </c>
      <c r="N59" s="22" t="n">
        <f aca="false">(L59-80000000)/80000000</f>
        <v>-0.775817045454546</v>
      </c>
      <c r="P59" s="7" t="s">
        <v>25</v>
      </c>
    </row>
    <row r="60" customFormat="false" ht="15" hidden="false" customHeight="false" outlineLevel="0" collapsed="false">
      <c r="C60" s="2" t="n">
        <v>5</v>
      </c>
      <c r="D60" s="2" t="n">
        <v>5072212</v>
      </c>
      <c r="E60" s="2" t="n">
        <v>10273</v>
      </c>
      <c r="F60" s="12" t="n">
        <f aca="false">D60/E60*1000</f>
        <v>493742.042246666</v>
      </c>
      <c r="G60" s="23" t="n">
        <f aca="false">(E56-E60)/E56</f>
        <v>0.0297506611258028</v>
      </c>
      <c r="H60" s="14" t="n">
        <f aca="false">(F60-80000000)/80000000</f>
        <v>-0.993828224471917</v>
      </c>
      <c r="I60" s="2" t="n">
        <v>5</v>
      </c>
      <c r="J60" s="12" t="n">
        <v>4880523</v>
      </c>
      <c r="K60" s="2" t="n">
        <v>292</v>
      </c>
      <c r="L60" s="12" t="n">
        <f aca="false">J60/K60*1000</f>
        <v>16714119.8630137</v>
      </c>
      <c r="M60" s="23" t="n">
        <f aca="false">(K56-K60)/K56</f>
        <v>0.00680272108843537</v>
      </c>
      <c r="N60" s="14" t="n">
        <f aca="false">(L60-80000000)/80000000</f>
        <v>-0.791073501712329</v>
      </c>
      <c r="R60" s="2"/>
    </row>
    <row r="61" customFormat="false" ht="15" hidden="false" customHeight="false" outlineLevel="0" collapsed="false">
      <c r="I61" s="2" t="n">
        <v>6</v>
      </c>
      <c r="J61" s="12" t="n">
        <v>119060324</v>
      </c>
      <c r="K61" s="2" t="n">
        <v>7042</v>
      </c>
      <c r="L61" s="12" t="n">
        <f aca="false">J61/K61*1000</f>
        <v>16907174.666288</v>
      </c>
      <c r="M61" s="23" t="n">
        <f aca="false">(K57-K61)/K57</f>
        <v>0.039814562312517</v>
      </c>
      <c r="N61" s="14" t="n">
        <f aca="false">(L61-80000000)/80000000</f>
        <v>-0.7886603166714</v>
      </c>
      <c r="R61" s="2"/>
    </row>
    <row r="63" customFormat="false" ht="15" hidden="false" customHeight="false" outlineLevel="0" collapsed="false">
      <c r="A63" s="16" t="n">
        <v>45606</v>
      </c>
      <c r="B63" s="17"/>
      <c r="C63" s="18" t="n">
        <v>4</v>
      </c>
      <c r="D63" s="19" t="n">
        <v>206603</v>
      </c>
      <c r="E63" s="20" t="n">
        <v>357</v>
      </c>
      <c r="F63" s="19" t="n">
        <f aca="false">D63/E63*1000</f>
        <v>578719.887955182</v>
      </c>
      <c r="G63" s="35" t="n">
        <f aca="false">(E59-E63)/E59</f>
        <v>0.154028436018957</v>
      </c>
      <c r="H63" s="22" t="n">
        <f aca="false">(F63-80000000)/80000000</f>
        <v>-0.99276600140056</v>
      </c>
      <c r="I63" s="3" t="n">
        <v>4</v>
      </c>
      <c r="J63" s="19" t="n">
        <v>197281</v>
      </c>
      <c r="K63" s="3" t="n">
        <v>9</v>
      </c>
      <c r="L63" s="19" t="n">
        <f aca="false">J63/K63*1000</f>
        <v>21920111.1111111</v>
      </c>
      <c r="M63" s="35" t="n">
        <f aca="false">(K59-K63)/K59</f>
        <v>0.181818181818182</v>
      </c>
      <c r="N63" s="22" t="n">
        <f aca="false">(L63-80000000)/80000000</f>
        <v>-0.725998611111111</v>
      </c>
      <c r="P63" s="7" t="s">
        <v>26</v>
      </c>
    </row>
    <row r="64" customFormat="false" ht="15" hidden="false" customHeight="false" outlineLevel="0" collapsed="false">
      <c r="C64" s="2" t="n">
        <v>5</v>
      </c>
      <c r="D64" s="2" t="n">
        <v>5072212</v>
      </c>
      <c r="E64" s="2" t="n">
        <v>9165</v>
      </c>
      <c r="F64" s="12" t="n">
        <f aca="false">D64/E64*1000</f>
        <v>553432.84233497</v>
      </c>
      <c r="G64" s="23" t="n">
        <f aca="false">(E60-E64)/E60</f>
        <v>0.107855543658133</v>
      </c>
      <c r="H64" s="14" t="n">
        <f aca="false">(F64-80000000)/80000000</f>
        <v>-0.993082089470813</v>
      </c>
      <c r="I64" s="2" t="n">
        <v>5</v>
      </c>
      <c r="J64" s="12" t="n">
        <v>4880523</v>
      </c>
      <c r="K64" s="2" t="n">
        <v>221</v>
      </c>
      <c r="L64" s="12" t="n">
        <f aca="false">J64/K64*1000</f>
        <v>22083814.479638</v>
      </c>
      <c r="M64" s="23" t="n">
        <f aca="false">(K60-K64)/K60</f>
        <v>0.243150684931507</v>
      </c>
      <c r="N64" s="14" t="n">
        <f aca="false">(L64-80000000)/80000000</f>
        <v>-0.723952319004525</v>
      </c>
    </row>
    <row r="65" customFormat="false" ht="15" hidden="false" customHeight="false" outlineLevel="0" collapsed="false">
      <c r="I65" s="2" t="n">
        <v>6</v>
      </c>
      <c r="J65" s="12" t="n">
        <v>119060324</v>
      </c>
      <c r="K65" s="2" t="n">
        <v>5889</v>
      </c>
      <c r="L65" s="12" t="n">
        <f aca="false">J65/K65*1000</f>
        <v>20217409.4073697</v>
      </c>
      <c r="M65" s="23" t="n">
        <f aca="false">(K61-K65)/K61</f>
        <v>0.163731894348197</v>
      </c>
      <c r="N65" s="14" t="n">
        <f aca="false">(L65-80000000)/80000000</f>
        <v>-0.747282382407879</v>
      </c>
    </row>
    <row r="67" customFormat="false" ht="15" hidden="false" customHeight="false" outlineLevel="0" collapsed="false">
      <c r="A67" s="16" t="n">
        <v>45862</v>
      </c>
      <c r="B67" s="17"/>
      <c r="C67" s="18" t="n">
        <v>4</v>
      </c>
      <c r="D67" s="19" t="n">
        <v>206603</v>
      </c>
      <c r="E67" s="20" t="n">
        <v>274</v>
      </c>
      <c r="F67" s="19" t="n">
        <f aca="false">D67/E67*1000</f>
        <v>754025.547445255</v>
      </c>
      <c r="G67" s="35" t="n">
        <f aca="false">(E63-E67)/E63</f>
        <v>0.23249299719888</v>
      </c>
      <c r="H67" s="22" t="n">
        <f aca="false">(F67-80000000)/80000000</f>
        <v>-0.990574680656934</v>
      </c>
      <c r="I67" s="3" t="n">
        <v>4</v>
      </c>
      <c r="J67" s="19" t="n">
        <v>197281</v>
      </c>
      <c r="K67" s="3" t="n">
        <v>9</v>
      </c>
      <c r="L67" s="19" t="n">
        <f aca="false">J67/K67*1000</f>
        <v>21920111.1111111</v>
      </c>
      <c r="M67" s="35" t="n">
        <f aca="false">(K63-K67)/K63</f>
        <v>0</v>
      </c>
      <c r="N67" s="22" t="n">
        <f aca="false">(L67-80000000)/80000000</f>
        <v>-0.725998611111111</v>
      </c>
      <c r="P67" s="2" t="s">
        <v>27</v>
      </c>
    </row>
    <row r="68" customFormat="false" ht="15" hidden="false" customHeight="false" outlineLevel="0" collapsed="false">
      <c r="C68" s="2" t="n">
        <v>5</v>
      </c>
      <c r="D68" s="2" t="n">
        <v>5072212</v>
      </c>
      <c r="E68" s="2" t="n">
        <v>7448</v>
      </c>
      <c r="F68" s="12" t="n">
        <f aca="false">D68/E68*1000</f>
        <v>681016.648764769</v>
      </c>
      <c r="G68" s="23" t="n">
        <f aca="false">(E64-E68)/E64</f>
        <v>0.1873431533006</v>
      </c>
      <c r="H68" s="14" t="n">
        <f aca="false">(F68-80000000)/80000000</f>
        <v>-0.99148729189044</v>
      </c>
      <c r="I68" s="2" t="n">
        <v>5</v>
      </c>
      <c r="J68" s="12" t="n">
        <v>4880523</v>
      </c>
      <c r="K68" s="2" t="n">
        <v>223</v>
      </c>
      <c r="L68" s="12" t="n">
        <f aca="false">J68/K68*1000</f>
        <v>21885753.3632287</v>
      </c>
      <c r="M68" s="14" t="n">
        <f aca="false">(K64-K68)/K64</f>
        <v>-0.00904977375565611</v>
      </c>
      <c r="N68" s="14" t="n">
        <f aca="false">(L68-80000000)/80000000</f>
        <v>-0.726428082959641</v>
      </c>
    </row>
    <row r="69" customFormat="false" ht="15" hidden="false" customHeight="false" outlineLevel="0" collapsed="false">
      <c r="I69" s="2" t="n">
        <v>6</v>
      </c>
      <c r="J69" s="12" t="n">
        <v>119060324</v>
      </c>
      <c r="K69" s="2" t="n">
        <v>5953</v>
      </c>
      <c r="L69" s="12" t="n">
        <f aca="false">J69/K69*1000</f>
        <v>20000054.4263397</v>
      </c>
      <c r="M69" s="14" t="n">
        <f aca="false">(K65-K69)/K65</f>
        <v>-0.010867719476991</v>
      </c>
      <c r="N69" s="14" t="n">
        <f aca="false">(L69-80000000)/80000000</f>
        <v>-0.749999319670754</v>
      </c>
      <c r="P69" s="2" t="s">
        <v>28</v>
      </c>
    </row>
    <row r="71" customFormat="false" ht="15" hidden="false" customHeight="true" outlineLevel="0" collapsed="false">
      <c r="A71" s="26" t="n">
        <v>45873</v>
      </c>
      <c r="B71" s="27"/>
      <c r="C71" s="28" t="n">
        <v>4</v>
      </c>
      <c r="D71" s="29" t="n">
        <v>206603</v>
      </c>
      <c r="E71" s="30" t="n">
        <v>280</v>
      </c>
      <c r="F71" s="29" t="n">
        <f aca="false">D71/E71*1000</f>
        <v>737867.857142857</v>
      </c>
      <c r="G71" s="24" t="n">
        <f aca="false">(E67-E71)/E67</f>
        <v>-0.0218978102189781</v>
      </c>
      <c r="H71" s="22" t="n">
        <f aca="false">(F71-80000000)/80000000</f>
        <v>-0.990776651785714</v>
      </c>
      <c r="I71" s="31" t="n">
        <v>4</v>
      </c>
      <c r="J71" s="29" t="n">
        <v>197281</v>
      </c>
      <c r="K71" s="31" t="n">
        <v>13</v>
      </c>
      <c r="L71" s="29" t="n">
        <f aca="false">J71/K71*1000</f>
        <v>15175461.5384615</v>
      </c>
      <c r="M71" s="22" t="n">
        <f aca="false">(K67-K71)/K67</f>
        <v>-0.444444444444444</v>
      </c>
      <c r="N71" s="22" t="n">
        <f aca="false">(L71-80000000)/80000000</f>
        <v>-0.810306730769231</v>
      </c>
      <c r="P71" s="32" t="s">
        <v>29</v>
      </c>
    </row>
    <row r="72" customFormat="false" ht="15" hidden="false" customHeight="true" outlineLevel="0" collapsed="false">
      <c r="A72" s="32"/>
      <c r="B72" s="33"/>
      <c r="C72" s="32" t="n">
        <v>5</v>
      </c>
      <c r="D72" s="32" t="n">
        <v>5072212</v>
      </c>
      <c r="E72" s="32" t="n">
        <v>6070</v>
      </c>
      <c r="F72" s="34" t="n">
        <f aca="false">D72/E72*1000</f>
        <v>835619.769357496</v>
      </c>
      <c r="G72" s="23" t="n">
        <f aca="false">(E68-E72)/E68</f>
        <v>0.185016111707841</v>
      </c>
      <c r="H72" s="14" t="n">
        <f aca="false">(F72-80000000)/80000000</f>
        <v>-0.989554752883031</v>
      </c>
      <c r="I72" s="32" t="n">
        <v>5</v>
      </c>
      <c r="J72" s="34" t="n">
        <v>4880523</v>
      </c>
      <c r="K72" s="32" t="n">
        <v>229</v>
      </c>
      <c r="L72" s="34" t="n">
        <f aca="false">J72/K72*1000</f>
        <v>21312327.510917</v>
      </c>
      <c r="M72" s="14" t="n">
        <f aca="false">(K68-K72)/K68</f>
        <v>-0.0269058295964126</v>
      </c>
      <c r="N72" s="14" t="n">
        <f aca="false">(L72-80000000)/80000000</f>
        <v>-0.733595906113537</v>
      </c>
    </row>
    <row r="73" customFormat="false" ht="15" hidden="false" customHeight="true" outlineLevel="0" collapsed="false">
      <c r="A73" s="32"/>
      <c r="B73" s="33"/>
      <c r="C73" s="32"/>
      <c r="D73" s="32"/>
      <c r="E73" s="32"/>
      <c r="F73" s="32"/>
      <c r="G73" s="32"/>
      <c r="H73" s="33"/>
      <c r="I73" s="32" t="n">
        <v>6</v>
      </c>
      <c r="J73" s="34" t="n">
        <v>119060324</v>
      </c>
      <c r="K73" s="32" t="n">
        <v>4920</v>
      </c>
      <c r="L73" s="34" t="n">
        <f aca="false">J73/K73*1000</f>
        <v>24199252.8455285</v>
      </c>
      <c r="M73" s="23" t="n">
        <f aca="false">(K69-K73)/K69</f>
        <v>0.173525953300857</v>
      </c>
      <c r="N73" s="14" t="n">
        <f aca="false">(L73-80000000)/80000000</f>
        <v>-0.697509339430894</v>
      </c>
    </row>
    <row r="74" customFormat="false" ht="15" hidden="false" customHeight="true" outlineLevel="0" collapsed="false">
      <c r="A74" s="32"/>
      <c r="B74" s="33"/>
      <c r="C74" s="32"/>
      <c r="D74" s="32"/>
      <c r="E74" s="32"/>
      <c r="F74" s="32"/>
      <c r="G74" s="32"/>
      <c r="H74" s="33"/>
      <c r="I74" s="32" t="n">
        <v>7</v>
      </c>
      <c r="J74" s="34" t="n">
        <v>3195901860</v>
      </c>
      <c r="K74" s="32" t="n">
        <v>110737</v>
      </c>
      <c r="L74" s="34" t="n">
        <f aca="false">J74/K74*1000</f>
        <v>28860289.3341882</v>
      </c>
      <c r="M74" s="32"/>
      <c r="N74" s="25" t="n">
        <f aca="false">(L74-80000000)/80000000</f>
        <v>-0.639246383322647</v>
      </c>
    </row>
    <row r="76" customFormat="false" ht="15" hidden="false" customHeight="true" outlineLevel="0" collapsed="false">
      <c r="A76" s="16" t="n">
        <v>45956</v>
      </c>
      <c r="B76" s="17"/>
      <c r="C76" s="18" t="n">
        <v>4</v>
      </c>
      <c r="D76" s="19" t="n">
        <v>206603</v>
      </c>
      <c r="E76" s="20" t="n">
        <v>275</v>
      </c>
      <c r="F76" s="19" t="n">
        <f aca="false">D76/E76*1000</f>
        <v>751283.636363636</v>
      </c>
      <c r="G76" s="22" t="n">
        <f aca="false">(E67-E76)/E67</f>
        <v>-0.00364963503649635</v>
      </c>
      <c r="H76" s="22" t="n">
        <f aca="false">(F76-80000000)/80000000</f>
        <v>-0.990608954545455</v>
      </c>
      <c r="I76" s="3" t="n">
        <v>4</v>
      </c>
      <c r="J76" s="19" t="n">
        <v>197281</v>
      </c>
      <c r="K76" s="3" t="n">
        <v>9</v>
      </c>
      <c r="L76" s="19" t="n">
        <f aca="false">J76/K76*1000</f>
        <v>21920111.1111111</v>
      </c>
      <c r="M76" s="35" t="n">
        <f aca="false">(K67-K76)/K67</f>
        <v>0</v>
      </c>
      <c r="N76" s="22" t="n">
        <f aca="false">(L76-80000000)/80000000</f>
        <v>-0.725998611111111</v>
      </c>
      <c r="P76" s="2" t="s">
        <v>30</v>
      </c>
    </row>
    <row r="77" customFormat="false" ht="15" hidden="false" customHeight="true" outlineLevel="0" collapsed="false">
      <c r="C77" s="2" t="n">
        <v>5</v>
      </c>
      <c r="D77" s="2" t="n">
        <v>5072212</v>
      </c>
      <c r="E77" s="2" t="n">
        <v>7015</v>
      </c>
      <c r="F77" s="12" t="n">
        <f aca="false">D77/E77*1000</f>
        <v>723052.316464719</v>
      </c>
      <c r="G77" s="23" t="n">
        <f aca="false">(E68-E77)/E68</f>
        <v>0.0581364124597207</v>
      </c>
      <c r="H77" s="14" t="n">
        <f aca="false">(F77-80000000)/80000000</f>
        <v>-0.990961846044191</v>
      </c>
      <c r="I77" s="2" t="n">
        <v>5</v>
      </c>
      <c r="J77" s="12" t="n">
        <v>4880523</v>
      </c>
      <c r="K77" s="2" t="n">
        <v>230</v>
      </c>
      <c r="L77" s="12" t="n">
        <f aca="false">J77/K77*1000</f>
        <v>21219665.2173913</v>
      </c>
      <c r="M77" s="14" t="n">
        <f aca="false">(K68-K77)/K68</f>
        <v>-0.031390134529148</v>
      </c>
      <c r="N77" s="14" t="n">
        <f aca="false">(L77-80000000)/80000000</f>
        <v>-0.734754184782609</v>
      </c>
      <c r="P77" s="2" t="s">
        <v>31</v>
      </c>
    </row>
    <row r="78" customFormat="false" ht="15" hidden="false" customHeight="true" outlineLevel="0" collapsed="false">
      <c r="I78" s="2" t="n">
        <v>6</v>
      </c>
      <c r="J78" s="12" t="n">
        <v>119060324</v>
      </c>
      <c r="K78" s="2" t="n">
        <v>5862</v>
      </c>
      <c r="L78" s="12" t="n">
        <f aca="false">J78/K78*1000</f>
        <v>20310529.5121119</v>
      </c>
      <c r="M78" s="37" t="n">
        <f aca="false">(K69-K78)/K69</f>
        <v>0.0152864102133378</v>
      </c>
      <c r="N78" s="14" t="n">
        <f aca="false">(L78-80000000)/80000000</f>
        <v>-0.746118381098601</v>
      </c>
    </row>
    <row r="80" customFormat="false" ht="15" hidden="false" customHeight="true" outlineLevel="0" collapsed="false">
      <c r="A80" s="16" t="n">
        <v>45961</v>
      </c>
      <c r="B80" s="17"/>
      <c r="C80" s="18" t="n">
        <v>4</v>
      </c>
      <c r="D80" s="19" t="n">
        <v>206603</v>
      </c>
      <c r="E80" s="20" t="n">
        <v>249</v>
      </c>
      <c r="F80" s="19" t="n">
        <f aca="false">D80/E80*1000</f>
        <v>829730.923694779</v>
      </c>
      <c r="G80" s="35" t="n">
        <f aca="false">(E76-E80)/E76</f>
        <v>0.0945454545454545</v>
      </c>
      <c r="H80" s="22" t="n">
        <f aca="false">(F80-80000000)/80000000</f>
        <v>-0.989628363453815</v>
      </c>
      <c r="I80" s="3" t="n">
        <v>4</v>
      </c>
      <c r="J80" s="19" t="n">
        <v>197281</v>
      </c>
      <c r="K80" s="3" t="n">
        <v>9</v>
      </c>
      <c r="L80" s="19" t="n">
        <f aca="false">J80/K80*1000</f>
        <v>21920111.1111111</v>
      </c>
      <c r="M80" s="35" t="n">
        <f aca="false">(K76-K80)/K76</f>
        <v>0</v>
      </c>
      <c r="N80" s="22" t="n">
        <f aca="false">(L80-80000000)/80000000</f>
        <v>-0.725998611111111</v>
      </c>
      <c r="P80" s="2" t="s">
        <v>32</v>
      </c>
    </row>
    <row r="81" customFormat="false" ht="15" hidden="false" customHeight="true" outlineLevel="0" collapsed="false">
      <c r="C81" s="2" t="n">
        <v>5</v>
      </c>
      <c r="D81" s="2" t="n">
        <v>5072212</v>
      </c>
      <c r="E81" s="2" t="n">
        <v>6742</v>
      </c>
      <c r="F81" s="12" t="n">
        <f aca="false">D81/E81*1000</f>
        <v>752330.46573717</v>
      </c>
      <c r="G81" s="23" t="n">
        <f aca="false">(E77-E81)/E77</f>
        <v>0.0389166072701354</v>
      </c>
      <c r="H81" s="14" t="n">
        <f aca="false">(F81-80000000)/80000000</f>
        <v>-0.990595869178286</v>
      </c>
      <c r="I81" s="2" t="n">
        <v>5</v>
      </c>
      <c r="J81" s="12" t="n">
        <v>4880523</v>
      </c>
      <c r="K81" s="2" t="n">
        <v>206</v>
      </c>
      <c r="L81" s="12" t="n">
        <f aca="false">J81/K81*1000</f>
        <v>23691859.223301</v>
      </c>
      <c r="M81" s="37" t="n">
        <f aca="false">(K77-K81)/K77</f>
        <v>0.104347826086957</v>
      </c>
      <c r="N81" s="14" t="n">
        <f aca="false">(L81-80000000)/80000000</f>
        <v>-0.703851759708738</v>
      </c>
      <c r="P81" s="2" t="s">
        <v>33</v>
      </c>
    </row>
    <row r="82" customFormat="false" ht="15" hidden="false" customHeight="true" outlineLevel="0" collapsed="false">
      <c r="I82" s="2" t="n">
        <v>6</v>
      </c>
      <c r="J82" s="12" t="n">
        <v>119060324</v>
      </c>
      <c r="K82" s="2" t="n">
        <v>5611</v>
      </c>
      <c r="L82" s="12" t="n">
        <f aca="false">J82/K82*1000</f>
        <v>21219091.7839957</v>
      </c>
      <c r="M82" s="37" t="n">
        <f aca="false">(K78-K82)/K78</f>
        <v>0.0428181508017741</v>
      </c>
      <c r="N82" s="14" t="n">
        <f aca="false">(L82-80000000)/80000000</f>
        <v>-0.734761352700054</v>
      </c>
    </row>
    <row r="84" customFormat="false" ht="15" hidden="false" customHeight="true" outlineLevel="0" collapsed="false">
      <c r="A84" s="16" t="n">
        <v>45970</v>
      </c>
      <c r="B84" s="17"/>
      <c r="C84" s="18" t="n">
        <v>4</v>
      </c>
      <c r="D84" s="19" t="n">
        <v>206603</v>
      </c>
      <c r="E84" s="20" t="n">
        <v>206</v>
      </c>
      <c r="F84" s="19" t="n">
        <f aca="false">D84/E84*1000</f>
        <v>1002927.18446602</v>
      </c>
      <c r="G84" s="35" t="n">
        <f aca="false">(E80-E84)/E80</f>
        <v>0.172690763052209</v>
      </c>
      <c r="H84" s="22" t="n">
        <f aca="false">(F84-80000000)/80000000</f>
        <v>-0.987463410194175</v>
      </c>
      <c r="I84" s="3" t="n">
        <v>4</v>
      </c>
      <c r="J84" s="19" t="n">
        <v>197281</v>
      </c>
      <c r="K84" s="3" t="n">
        <v>6</v>
      </c>
      <c r="L84" s="19" t="n">
        <f aca="false">J84/K84*1000</f>
        <v>32880166.6666667</v>
      </c>
      <c r="M84" s="35" t="n">
        <f aca="false">(K80-K84)/K80</f>
        <v>0.333333333333333</v>
      </c>
      <c r="N84" s="22" t="n">
        <f aca="false">(L84-80000000)/80000000</f>
        <v>-0.588997916666667</v>
      </c>
      <c r="P84" s="2" t="s">
        <v>34</v>
      </c>
    </row>
    <row r="85" customFormat="false" ht="15" hidden="false" customHeight="true" outlineLevel="0" collapsed="false">
      <c r="C85" s="2" t="n">
        <v>5</v>
      </c>
      <c r="D85" s="2" t="n">
        <v>5072212</v>
      </c>
      <c r="E85" s="2" t="n">
        <v>5048</v>
      </c>
      <c r="F85" s="12" t="n">
        <f aca="false">D85/E85*1000</f>
        <v>1004796.35499208</v>
      </c>
      <c r="G85" s="23" t="n">
        <f aca="false">(E81-E85)/E81</f>
        <v>0.251260753485613</v>
      </c>
      <c r="H85" s="14" t="n">
        <f aca="false">(F85-80000000)/80000000</f>
        <v>-0.987440045562599</v>
      </c>
      <c r="I85" s="2" t="n">
        <v>5</v>
      </c>
      <c r="J85" s="12" t="n">
        <v>4880523</v>
      </c>
      <c r="K85" s="2" t="n">
        <v>155</v>
      </c>
      <c r="L85" s="12" t="n">
        <f aca="false">J85/K85*1000</f>
        <v>31487245.1612903</v>
      </c>
      <c r="M85" s="37" t="n">
        <f aca="false">(K81-K85)/K81</f>
        <v>0.247572815533981</v>
      </c>
      <c r="N85" s="14" t="n">
        <f aca="false">(L85-80000000)/80000000</f>
        <v>-0.606409435483871</v>
      </c>
    </row>
    <row r="86" customFormat="false" ht="15" hidden="false" customHeight="true" outlineLevel="0" collapsed="false">
      <c r="I86" s="2" t="n">
        <v>6</v>
      </c>
      <c r="J86" s="12" t="n">
        <v>119060324</v>
      </c>
      <c r="K86" s="2" t="n">
        <v>3790</v>
      </c>
      <c r="L86" s="12" t="n">
        <f aca="false">J86/K86*1000</f>
        <v>31414333.5092348</v>
      </c>
      <c r="M86" s="37" t="n">
        <f aca="false">(K82-K86)/K82</f>
        <v>0.324541080021387</v>
      </c>
      <c r="N86" s="14" t="n">
        <f aca="false">(L86-80000000)/80000000</f>
        <v>-0.607320831134565</v>
      </c>
    </row>
  </sheetData>
  <mergeCells count="2">
    <mergeCell ref="C1:H1"/>
    <mergeCell ref="I1:N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2" activeCellId="0" sqref="H12"/>
    </sheetView>
  </sheetViews>
  <sheetFormatPr defaultColWidth="12.1484375" defaultRowHeight="15" customHeight="true" zeroHeight="false" outlineLevelRow="0" outlineLevelCol="0"/>
  <cols>
    <col collapsed="false" customWidth="true" hidden="false" outlineLevel="0" max="1" min="1" style="2" width="8.42"/>
    <col collapsed="false" customWidth="true" hidden="false" outlineLevel="0" max="2" min="2" style="2" width="16.43"/>
    <col collapsed="false" customWidth="true" hidden="false" outlineLevel="0" max="3" min="3" style="2" width="5.57"/>
    <col collapsed="false" customWidth="true" hidden="false" outlineLevel="0" max="4" min="4" style="2" width="18.42"/>
  </cols>
  <sheetData>
    <row r="1" customFormat="false" ht="15" hidden="false" customHeight="false" outlineLevel="0" collapsed="false">
      <c r="A1" s="38" t="n">
        <v>45393</v>
      </c>
      <c r="B1" s="7" t="s">
        <v>35</v>
      </c>
      <c r="C1" s="7" t="s">
        <v>36</v>
      </c>
      <c r="D1" s="7" t="s">
        <v>37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785</TotalTime>
  <Application>LibreOffice/25.2.7.2$Linux_X86_64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2023-07-06T17:20:55Z</dcterms:created>
  <dc:creator>claudio</dc:creator>
  <dc:description/>
  <dc:language>en-US</dc:language>
  <cp:lastModifiedBy/>
  <dcterms:modified xsi:type="dcterms:W3CDTF">2025-11-10T18:47:57Z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