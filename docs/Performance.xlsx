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<sst xmlns="http://schemas.openxmlformats.org/spreadsheetml/2006/main" count="48" uniqueCount="42">
  <si>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</si>
  <si>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</si>
  <si>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</si>
  <si>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</si>
  <si>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</si>
  <si>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</si>
  <si>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</si>
  <si>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</si>
  <si>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</si>
  <si>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</si>
  <si>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</si>
  <si>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</si>
  <si>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</si>
  <si>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</si>
  <si>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</si>
  <si>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</si>
  <si>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</si>
  <si>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</si>
  <si>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</si>
  <si>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</si>
  <si>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</si>
  <si>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</si>
  <si>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</si>
  <si>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</si>
  <si>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</si>
  <si>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</si>
  <si>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</si>
  <si>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</si>
  <si>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</si>
  <si>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</si>
  <si>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removed moves calculation from board class</t>
  </si>
  <si>
    <t xml:space="preserve">added functions map for destination calculation</t>
  </si>
  <si>
    <t xml:space="preserve">added pawn attacks functional maps</t>
  </si>
  <si>
    <t xml:space="preserve">replaced unsigned char with unsigned int</t>
  </si>
  <si>
    <t xml:space="preserve">avoided obvious ray attacks calculation on move validation</t>
  </si>
  <si>
    <t xml:space="preserve">avoided obvious ray attacks calculation on verify checks</t>
  </si>
  <si>
    <t xml:space="preserve">fedora to debian mint</t>
  </si>
  <si>
    <t xml:space="preserve">changed board representation to the classic Little-Endian Rank-File Mapping</t>
  </si>
  <si>
    <t xml:space="preserve">downgrade to 32GB of RAM with minor performance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</si>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</sst>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8"/>
  <sheetViews>
    <sheetView showFormulas="false" showGridLines="true" showRowColHeaders="true" showZeros="true" rightToLeft="false" tabSelected="true" showOutlineSymbols="true" defaultGridColor="true" view="normal" topLeftCell="A54" colorId="64" zoomScale="100" zoomScaleNormal="100" zoomScalePageLayoutView="100" workbookViewId="0">
      <selection pane="topLeft" activeCell="P96" activeCellId="0" sqref="P96"/>
    </sheetView>
  </sheetViews>
  <sheetFormatPr defaultColWidth="16.1523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25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25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4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25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  <row r="76" customFormat="false" ht="15" hidden="false" customHeight="true" outlineLevel="0" collapsed="false">
      <c r="A76" s="16" t="n">
        <v>45956</v>
      </c>
      <c r="B76" s="17"/>
      <c r="C76" s="18" t="n">
        <v>4</v>
      </c>
      <c r="D76" s="19" t="n">
        <v>206603</v>
      </c>
      <c r="E76" s="20" t="n">
        <v>275</v>
      </c>
      <c r="F76" s="19" t="n">
        <f aca="false">D76/E76*1000</f>
        <v>751283.636363636</v>
      </c>
      <c r="G76" s="24" t="n">
        <f aca="false">(E67-E76)/E67</f>
        <v>-0.00364963503649635</v>
      </c>
      <c r="H76" s="22" t="n">
        <f aca="false">(F76-80000000)/80000000</f>
        <v>-0.990608954545455</v>
      </c>
      <c r="I76" s="3" t="n">
        <v>4</v>
      </c>
      <c r="J76" s="19" t="n">
        <v>197281</v>
      </c>
      <c r="K76" s="3" t="n">
        <v>9</v>
      </c>
      <c r="L76" s="19" t="n">
        <f aca="false">J76/K76*1000</f>
        <v>21920111.1111111</v>
      </c>
      <c r="M76" s="35" t="n">
        <f aca="false">(K67-K76)/K67</f>
        <v>0</v>
      </c>
      <c r="N76" s="22" t="n">
        <f aca="false">(L76-80000000)/80000000</f>
        <v>-0.725998611111111</v>
      </c>
      <c r="P76" s="2" t="s">
        <v>30</v>
      </c>
    </row>
    <row r="77" customFormat="false" ht="15" hidden="false" customHeight="true" outlineLevel="0" collapsed="false">
      <c r="C77" s="2" t="n">
        <v>5</v>
      </c>
      <c r="D77" s="2" t="n">
        <v>5072212</v>
      </c>
      <c r="E77" s="2" t="n">
        <v>7015</v>
      </c>
      <c r="F77" s="12" t="n">
        <f aca="false">D77/E77*1000</f>
        <v>723052.316464719</v>
      </c>
      <c r="G77" s="23" t="n">
        <f aca="false">(E68-E77)/E68</f>
        <v>0.0581364124597207</v>
      </c>
      <c r="H77" s="14" t="n">
        <f aca="false">(F77-80000000)/80000000</f>
        <v>-0.990961846044191</v>
      </c>
      <c r="I77" s="2" t="n">
        <v>5</v>
      </c>
      <c r="J77" s="12" t="n">
        <v>4880523</v>
      </c>
      <c r="K77" s="2" t="n">
        <v>230</v>
      </c>
      <c r="L77" s="12" t="n">
        <f aca="false">J77/K77*1000</f>
        <v>21219665.2173913</v>
      </c>
      <c r="M77" s="25" t="n">
        <f aca="false">(K68-K77)/K68</f>
        <v>-0.031390134529148</v>
      </c>
      <c r="N77" s="14" t="n">
        <f aca="false">(L77-80000000)/80000000</f>
        <v>-0.734754184782609</v>
      </c>
      <c r="P77" s="2" t="s">
        <v>31</v>
      </c>
    </row>
    <row r="78" customFormat="false" ht="15" hidden="false" customHeight="true" outlineLevel="0" collapsed="false">
      <c r="I78" s="2" t="n">
        <v>6</v>
      </c>
      <c r="J78" s="12" t="n">
        <v>119060324</v>
      </c>
      <c r="K78" s="2" t="n">
        <v>5862</v>
      </c>
      <c r="L78" s="12" t="n">
        <f aca="false">J78/K78*1000</f>
        <v>20310529.5121119</v>
      </c>
      <c r="M78" s="37" t="n">
        <f aca="false">(K69-K78)/K69</f>
        <v>0.0152864102133378</v>
      </c>
      <c r="N78" s="14" t="n">
        <f aca="false">(L78-80000000)/80000000</f>
        <v>-0.746118381098601</v>
      </c>
    </row>
    <row r="80" customFormat="false" ht="15" hidden="false" customHeight="true" outlineLevel="0" collapsed="false">
      <c r="A80" s="16" t="n">
        <v>45961</v>
      </c>
      <c r="B80" s="17"/>
      <c r="C80" s="18" t="n">
        <v>4</v>
      </c>
      <c r="D80" s="19" t="n">
        <v>206603</v>
      </c>
      <c r="E80" s="20" t="n">
        <v>249</v>
      </c>
      <c r="F80" s="19" t="n">
        <f aca="false">D80/E80*1000</f>
        <v>829730.923694779</v>
      </c>
      <c r="G80" s="35" t="n">
        <f aca="false">(E76-E80)/E76</f>
        <v>0.0945454545454545</v>
      </c>
      <c r="H80" s="22" t="n">
        <f aca="false">(F80-80000000)/80000000</f>
        <v>-0.989628363453815</v>
      </c>
      <c r="I80" s="3" t="n">
        <v>4</v>
      </c>
      <c r="J80" s="19" t="n">
        <v>197281</v>
      </c>
      <c r="K80" s="3" t="n">
        <v>9</v>
      </c>
      <c r="L80" s="19" t="n">
        <f aca="false">J80/K80*1000</f>
        <v>21920111.1111111</v>
      </c>
      <c r="M80" s="35" t="n">
        <f aca="false">(K76-K80)/K76</f>
        <v>0</v>
      </c>
      <c r="N80" s="22" t="n">
        <f aca="false">(L80-80000000)/80000000</f>
        <v>-0.725998611111111</v>
      </c>
      <c r="P80" s="2" t="s">
        <v>32</v>
      </c>
    </row>
    <row r="81" customFormat="false" ht="15" hidden="false" customHeight="true" outlineLevel="0" collapsed="false">
      <c r="C81" s="2" t="n">
        <v>5</v>
      </c>
      <c r="D81" s="2" t="n">
        <v>5072212</v>
      </c>
      <c r="E81" s="2" t="n">
        <v>6742</v>
      </c>
      <c r="F81" s="12" t="n">
        <f aca="false">D81/E81*1000</f>
        <v>752330.46573717</v>
      </c>
      <c r="G81" s="23" t="n">
        <f aca="false">(E77-E81)/E77</f>
        <v>0.0389166072701354</v>
      </c>
      <c r="H81" s="14" t="n">
        <f aca="false">(F81-80000000)/80000000</f>
        <v>-0.990595869178286</v>
      </c>
      <c r="I81" s="2" t="n">
        <v>5</v>
      </c>
      <c r="J81" s="12" t="n">
        <v>4880523</v>
      </c>
      <c r="K81" s="2" t="n">
        <v>206</v>
      </c>
      <c r="L81" s="12" t="n">
        <f aca="false">J81/K81*1000</f>
        <v>23691859.223301</v>
      </c>
      <c r="M81" s="37" t="n">
        <f aca="false">(K77-K81)/K77</f>
        <v>0.104347826086957</v>
      </c>
      <c r="N81" s="14" t="n">
        <f aca="false">(L81-80000000)/80000000</f>
        <v>-0.703851759708738</v>
      </c>
      <c r="P81" s="2" t="s">
        <v>33</v>
      </c>
    </row>
    <row r="82" customFormat="false" ht="15" hidden="false" customHeight="true" outlineLevel="0" collapsed="false">
      <c r="I82" s="2" t="n">
        <v>6</v>
      </c>
      <c r="J82" s="12" t="n">
        <v>119060324</v>
      </c>
      <c r="K82" s="2" t="n">
        <v>5611</v>
      </c>
      <c r="L82" s="12" t="n">
        <f aca="false">J82/K82*1000</f>
        <v>21219091.7839957</v>
      </c>
      <c r="M82" s="37" t="n">
        <f aca="false">(K78-K82)/K78</f>
        <v>0.0428181508017741</v>
      </c>
      <c r="N82" s="14" t="n">
        <f aca="false">(L82-80000000)/80000000</f>
        <v>-0.734761352700054</v>
      </c>
    </row>
    <row r="84" customFormat="false" ht="15" hidden="false" customHeight="true" outlineLevel="0" collapsed="false">
      <c r="A84" s="16" t="n">
        <v>45970</v>
      </c>
      <c r="B84" s="17"/>
      <c r="C84" s="18" t="n">
        <v>4</v>
      </c>
      <c r="D84" s="19" t="n">
        <v>206603</v>
      </c>
      <c r="E84" s="20" t="n">
        <v>206</v>
      </c>
      <c r="F84" s="19" t="n">
        <f aca="false">D84/E84*1000</f>
        <v>1002927.18446602</v>
      </c>
      <c r="G84" s="35" t="n">
        <f aca="false">(E80-E84)/E80</f>
        <v>0.172690763052209</v>
      </c>
      <c r="H84" s="22" t="n">
        <f aca="false">(F84-80000000)/80000000</f>
        <v>-0.987463410194175</v>
      </c>
      <c r="I84" s="3" t="n">
        <v>4</v>
      </c>
      <c r="J84" s="19" t="n">
        <v>197281</v>
      </c>
      <c r="K84" s="3" t="n">
        <v>6</v>
      </c>
      <c r="L84" s="19" t="n">
        <f aca="false">J84/K84*1000</f>
        <v>32880166.6666667</v>
      </c>
      <c r="M84" s="35" t="n">
        <f aca="false">(K80-K84)/K80</f>
        <v>0.333333333333333</v>
      </c>
      <c r="N84" s="22" t="n">
        <f aca="false">(L84-80000000)/80000000</f>
        <v>-0.588997916666667</v>
      </c>
      <c r="P84" s="2" t="s">
        <v>34</v>
      </c>
    </row>
    <row r="85" customFormat="false" ht="15" hidden="false" customHeight="true" outlineLevel="0" collapsed="false">
      <c r="C85" s="2" t="n">
        <v>5</v>
      </c>
      <c r="D85" s="2" t="n">
        <v>5072212</v>
      </c>
      <c r="E85" s="2" t="n">
        <v>5048</v>
      </c>
      <c r="F85" s="12" t="n">
        <f aca="false">D85/E85*1000</f>
        <v>1004796.35499208</v>
      </c>
      <c r="G85" s="23" t="n">
        <f aca="false">(E81-E85)/E81</f>
        <v>0.251260753485613</v>
      </c>
      <c r="H85" s="14" t="n">
        <f aca="false">(F85-80000000)/80000000</f>
        <v>-0.987440045562599</v>
      </c>
      <c r="I85" s="2" t="n">
        <v>5</v>
      </c>
      <c r="J85" s="12" t="n">
        <v>4880523</v>
      </c>
      <c r="K85" s="2" t="n">
        <v>155</v>
      </c>
      <c r="L85" s="12" t="n">
        <f aca="false">J85/K85*1000</f>
        <v>31487245.1612903</v>
      </c>
      <c r="M85" s="37" t="n">
        <f aca="false">(K81-K85)/K81</f>
        <v>0.247572815533981</v>
      </c>
      <c r="N85" s="14" t="n">
        <f aca="false">(L85-80000000)/80000000</f>
        <v>-0.606409435483871</v>
      </c>
    </row>
    <row r="86" customFormat="false" ht="15" hidden="false" customHeight="true" outlineLevel="0" collapsed="false">
      <c r="I86" s="2" t="n">
        <v>6</v>
      </c>
      <c r="J86" s="12" t="n">
        <v>119060324</v>
      </c>
      <c r="K86" s="2" t="n">
        <v>3790</v>
      </c>
      <c r="L86" s="12" t="n">
        <f aca="false">J86/K86*1000</f>
        <v>31414333.5092348</v>
      </c>
      <c r="M86" s="37" t="n">
        <f aca="false">(K82-K86)/K82</f>
        <v>0.324541080021387</v>
      </c>
      <c r="N86" s="14" t="n">
        <f aca="false">(L86-80000000)/80000000</f>
        <v>-0.607320831134565</v>
      </c>
    </row>
    <row r="88" customFormat="false" ht="15" hidden="false" customHeight="true" outlineLevel="0" collapsed="false">
      <c r="A88" s="16" t="n">
        <v>45971</v>
      </c>
      <c r="B88" s="17"/>
      <c r="C88" s="18" t="n">
        <v>4</v>
      </c>
      <c r="D88" s="19" t="n">
        <v>206603</v>
      </c>
      <c r="E88" s="20" t="n">
        <v>199</v>
      </c>
      <c r="F88" s="19" t="n">
        <f aca="false">D88/E88*1000</f>
        <v>1038206.03015075</v>
      </c>
      <c r="G88" s="35" t="n">
        <f aca="false">(E84-E88)/E84</f>
        <v>0.0339805825242718</v>
      </c>
      <c r="H88" s="22" t="n">
        <f aca="false">(F88-80000000)/80000000</f>
        <v>-0.987022424623116</v>
      </c>
      <c r="I88" s="3" t="n">
        <v>4</v>
      </c>
      <c r="J88" s="19" t="n">
        <v>197281</v>
      </c>
      <c r="K88" s="3" t="n">
        <v>6</v>
      </c>
      <c r="L88" s="19" t="n">
        <f aca="false">J88/K88*1000</f>
        <v>32880166.6666667</v>
      </c>
      <c r="M88" s="35" t="n">
        <f aca="false">(K84-K88)/K84</f>
        <v>0</v>
      </c>
      <c r="N88" s="22" t="n">
        <f aca="false">(L88-80000000)/80000000</f>
        <v>-0.588997916666667</v>
      </c>
      <c r="P88" s="2" t="s">
        <v>35</v>
      </c>
    </row>
    <row r="89" customFormat="false" ht="15" hidden="false" customHeight="true" outlineLevel="0" collapsed="false">
      <c r="C89" s="2" t="n">
        <v>5</v>
      </c>
      <c r="D89" s="2" t="n">
        <v>5072212</v>
      </c>
      <c r="E89" s="2" t="n">
        <v>4875</v>
      </c>
      <c r="F89" s="12" t="n">
        <f aca="false">D89/E89*1000</f>
        <v>1040453.74358974</v>
      </c>
      <c r="G89" s="23" t="n">
        <f aca="false">(E85-E89)/E85</f>
        <v>0.0342709984152139</v>
      </c>
      <c r="H89" s="14" t="n">
        <f aca="false">(F89-80000000)/80000000</f>
        <v>-0.986994328205128</v>
      </c>
      <c r="I89" s="2" t="n">
        <v>5</v>
      </c>
      <c r="J89" s="12" t="n">
        <v>4880523</v>
      </c>
      <c r="K89" s="2" t="n">
        <v>155</v>
      </c>
      <c r="L89" s="12" t="n">
        <f aca="false">J89/K89*1000</f>
        <v>31487245.1612903</v>
      </c>
      <c r="M89" s="37" t="n">
        <f aca="false">(K85-K89)/K85</f>
        <v>0</v>
      </c>
      <c r="N89" s="14" t="n">
        <f aca="false">(L89-80000000)/80000000</f>
        <v>-0.606409435483871</v>
      </c>
    </row>
    <row r="90" customFormat="false" ht="15" hidden="false" customHeight="true" outlineLevel="0" collapsed="false">
      <c r="I90" s="2" t="n">
        <v>6</v>
      </c>
      <c r="J90" s="12" t="n">
        <v>119060324</v>
      </c>
      <c r="K90" s="2" t="n">
        <v>3798</v>
      </c>
      <c r="L90" s="12" t="n">
        <f aca="false">J90/K90*1000</f>
        <v>31348163.2438125</v>
      </c>
      <c r="M90" s="25" t="n">
        <f aca="false">(K86-K90)/K86</f>
        <v>-0.00211081794195251</v>
      </c>
      <c r="N90" s="14" t="n">
        <f aca="false">(L90-80000000)/80000000</f>
        <v>-0.608147959452343</v>
      </c>
    </row>
    <row r="92" customFormat="false" ht="15" hidden="false" customHeight="true" outlineLevel="0" collapsed="false">
      <c r="A92" s="16" t="n">
        <v>45991</v>
      </c>
      <c r="B92" s="17"/>
      <c r="C92" s="18" t="n">
        <v>4</v>
      </c>
      <c r="D92" s="19" t="n">
        <v>206603</v>
      </c>
      <c r="E92" s="20" t="n">
        <v>207</v>
      </c>
      <c r="F92" s="19" t="n">
        <f aca="false">D92/E92*1000</f>
        <v>998082.125603865</v>
      </c>
      <c r="G92" s="24" t="n">
        <f aca="false">(E88-E92)/E88</f>
        <v>-0.0402010050251256</v>
      </c>
      <c r="H92" s="22" t="n">
        <f aca="false">(F92-80000000)/80000000</f>
        <v>-0.987523973429952</v>
      </c>
      <c r="I92" s="3" t="n">
        <v>4</v>
      </c>
      <c r="J92" s="19" t="n">
        <v>197281</v>
      </c>
      <c r="K92" s="3" t="n">
        <v>6</v>
      </c>
      <c r="L92" s="19" t="n">
        <f aca="false">J92/K92*1000</f>
        <v>32880166.6666667</v>
      </c>
      <c r="M92" s="24" t="n">
        <f aca="false">(K88-K92)/K88</f>
        <v>0</v>
      </c>
      <c r="N92" s="22" t="n">
        <f aca="false">(L92-80000000)/80000000</f>
        <v>-0.588997916666667</v>
      </c>
      <c r="P92" s="7" t="s">
        <v>36</v>
      </c>
    </row>
    <row r="93" customFormat="false" ht="15" hidden="false" customHeight="true" outlineLevel="0" collapsed="false">
      <c r="C93" s="2" t="n">
        <v>5</v>
      </c>
      <c r="D93" s="2" t="n">
        <v>5072212</v>
      </c>
      <c r="E93" s="2" t="n">
        <v>5126</v>
      </c>
      <c r="F93" s="12" t="n">
        <f aca="false">D93/E93*1000</f>
        <v>989506.827936013</v>
      </c>
      <c r="G93" s="25" t="n">
        <f aca="false">(E89-E93)/E89</f>
        <v>-0.0514871794871795</v>
      </c>
      <c r="H93" s="14" t="n">
        <f aca="false">(F93-80000000)/80000000</f>
        <v>-0.9876311646508</v>
      </c>
      <c r="I93" s="2" t="n">
        <v>5</v>
      </c>
      <c r="J93" s="12" t="n">
        <v>4880523</v>
      </c>
      <c r="K93" s="2" t="n">
        <v>167</v>
      </c>
      <c r="L93" s="12" t="n">
        <f aca="false">J93/K93*1000</f>
        <v>29224688.6227545</v>
      </c>
      <c r="M93" s="25" t="n">
        <f aca="false">(K89-K93)/K89</f>
        <v>-0.0774193548387097</v>
      </c>
      <c r="N93" s="14" t="n">
        <f aca="false">(L93-80000000)/80000000</f>
        <v>-0.634691392215569</v>
      </c>
    </row>
    <row r="94" customFormat="false" ht="15" hidden="false" customHeight="true" outlineLevel="0" collapsed="false">
      <c r="I94" s="2" t="n">
        <v>6</v>
      </c>
      <c r="J94" s="12" t="n">
        <v>119060324</v>
      </c>
      <c r="K94" s="2" t="n">
        <v>4097</v>
      </c>
      <c r="L94" s="12" t="n">
        <f aca="false">J94/K94*1000</f>
        <v>29060367.0978765</v>
      </c>
      <c r="M94" s="25" t="n">
        <f aca="false">(K90-K94)/K90</f>
        <v>-0.078725645076356</v>
      </c>
      <c r="N94" s="14" t="n">
        <f aca="false">(L94-80000000)/80000000</f>
        <v>-0.636745411276544</v>
      </c>
    </row>
    <row r="96" customFormat="false" ht="15" hidden="false" customHeight="false" outlineLevel="0" collapsed="false">
      <c r="A96" s="16" t="n">
        <v>46027</v>
      </c>
      <c r="B96" s="17"/>
      <c r="C96" s="18" t="n">
        <v>4</v>
      </c>
      <c r="D96" s="19" t="n">
        <v>206603</v>
      </c>
      <c r="E96" s="20" t="n">
        <v>218</v>
      </c>
      <c r="F96" s="19" t="n">
        <f aca="false">D96/E96*1000</f>
        <v>947720.183486239</v>
      </c>
      <c r="G96" s="24" t="n">
        <f aca="false">(E92-E96)/E92</f>
        <v>-0.0531400966183575</v>
      </c>
      <c r="H96" s="22" t="n">
        <f aca="false">(F96-80000000)/80000000</f>
        <v>-0.988153497706422</v>
      </c>
      <c r="I96" s="3" t="n">
        <v>4</v>
      </c>
      <c r="J96" s="19" t="n">
        <v>197281</v>
      </c>
      <c r="K96" s="3" t="n">
        <v>7</v>
      </c>
      <c r="L96" s="19" t="n">
        <f aca="false">J96/K96*1000</f>
        <v>28183000</v>
      </c>
      <c r="M96" s="24" t="n">
        <f aca="false">(K92-K96)/K92</f>
        <v>-0.166666666666667</v>
      </c>
      <c r="N96" s="22" t="n">
        <f aca="false">(L96-80000000)/80000000</f>
        <v>-0.6477125</v>
      </c>
      <c r="P96" s="38" t="s">
        <v>37</v>
      </c>
    </row>
    <row r="97" customFormat="false" ht="15" hidden="false" customHeight="false" outlineLevel="0" collapsed="false">
      <c r="C97" s="2" t="n">
        <v>5</v>
      </c>
      <c r="D97" s="2" t="n">
        <v>5072212</v>
      </c>
      <c r="E97" s="2" t="n">
        <v>5403</v>
      </c>
      <c r="F97" s="12" t="n">
        <f aca="false">D97/E97*1000</f>
        <v>938776.975754211</v>
      </c>
      <c r="G97" s="25" t="n">
        <f aca="false">(E93-E97)/E93</f>
        <v>-0.0540382364416699</v>
      </c>
      <c r="H97" s="14" t="n">
        <f aca="false">(F97-80000000)/80000000</f>
        <v>-0.988265287803072</v>
      </c>
      <c r="I97" s="2" t="n">
        <v>5</v>
      </c>
      <c r="J97" s="12" t="n">
        <v>4880523</v>
      </c>
      <c r="K97" s="2" t="n">
        <v>170</v>
      </c>
      <c r="L97" s="12" t="n">
        <f aca="false">J97/K97*1000</f>
        <v>28708958.8235294</v>
      </c>
      <c r="M97" s="25" t="n">
        <f aca="false">(K93-K97)/K93</f>
        <v>-0.0179640718562874</v>
      </c>
      <c r="N97" s="14" t="n">
        <f aca="false">(L97-80000000)/80000000</f>
        <v>-0.641138014705882</v>
      </c>
      <c r="P97" s="38" t="s">
        <v>38</v>
      </c>
    </row>
    <row r="98" customFormat="false" ht="15" hidden="false" customHeight="false" outlineLevel="0" collapsed="false">
      <c r="I98" s="2" t="n">
        <v>6</v>
      </c>
      <c r="J98" s="12" t="n">
        <v>119060324</v>
      </c>
      <c r="K98" s="2" t="n">
        <v>4295</v>
      </c>
      <c r="L98" s="12" t="n">
        <f aca="false">J98/K98*1000</f>
        <v>27720680.7916182</v>
      </c>
      <c r="M98" s="25" t="n">
        <f aca="false">(K94-K98)/K94</f>
        <v>-0.0483280449109104</v>
      </c>
      <c r="N98" s="14" t="n">
        <f aca="false">(L98-80000000)/80000000</f>
        <v>-0.653491490104773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523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9" t="n">
        <v>45393</v>
      </c>
      <c r="B1" s="7" t="s">
        <v>39</v>
      </c>
      <c r="C1" s="7" t="s">
        <v>40</v>
      </c>
      <c r="D1" s="7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2026-01-05T00:11:25Z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