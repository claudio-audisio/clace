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clace\docs\"/>
    </mc:Choice>
  </mc:AlternateContent>
  <xr:revisionPtr revIDLastSave="0" documentId="13_ncr:1_{CDDA1B45-4ED1-4B41-9BEA-6C91921ECBB8}" xr6:coauthVersionLast="47" xr6:coauthVersionMax="47" xr10:uidLastSave="{00000000-0000-0000-0000-000000000000}"/>
  <bookViews>
    <workbookView xWindow="38280" yWindow="5280" windowWidth="29040" windowHeight="15720" xr2:uid="{D3276BA4-EC86-47CC-ADFB-EDF16C1A358E}"/>
  </bookViews>
  <sheets>
    <sheet name="Initial Position Single Thread" sheetId="2" r:id="rId1"/>
    <sheet name="vs other Enign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9" i="2" l="1"/>
  <c r="N29" i="2"/>
  <c r="M28" i="2"/>
  <c r="L28" i="2"/>
  <c r="N28" i="2" s="1"/>
  <c r="M27" i="2"/>
  <c r="L27" i="2"/>
  <c r="N27" i="2" s="1"/>
  <c r="G27" i="2"/>
  <c r="F27" i="2"/>
  <c r="H27" i="2" s="1"/>
  <c r="M26" i="2"/>
  <c r="L26" i="2"/>
  <c r="N26" i="2" s="1"/>
  <c r="G26" i="2"/>
  <c r="F26" i="2"/>
  <c r="H26" i="2" s="1"/>
  <c r="M24" i="2"/>
  <c r="L24" i="2"/>
  <c r="N24" i="2" s="1"/>
  <c r="M23" i="2"/>
  <c r="L23" i="2"/>
  <c r="N23" i="2" s="1"/>
  <c r="G23" i="2"/>
  <c r="F23" i="2"/>
  <c r="H23" i="2" s="1"/>
  <c r="M22" i="2"/>
  <c r="L22" i="2"/>
  <c r="N22" i="2" s="1"/>
  <c r="G22" i="2"/>
  <c r="F22" i="2"/>
  <c r="H22" i="2" s="1"/>
  <c r="M20" i="2"/>
  <c r="L20" i="2"/>
  <c r="N20" i="2" s="1"/>
  <c r="M19" i="2"/>
  <c r="L19" i="2"/>
  <c r="N19" i="2" s="1"/>
  <c r="G19" i="2"/>
  <c r="F19" i="2"/>
  <c r="H19" i="2" s="1"/>
  <c r="M18" i="2"/>
  <c r="L18" i="2"/>
  <c r="N18" i="2" s="1"/>
  <c r="G18" i="2"/>
  <c r="F18" i="2"/>
  <c r="H18" i="2" s="1"/>
  <c r="M16" i="2"/>
  <c r="L16" i="2"/>
  <c r="N16" i="2" s="1"/>
  <c r="M15" i="2"/>
  <c r="L15" i="2"/>
  <c r="N15" i="2" s="1"/>
  <c r="G15" i="2"/>
  <c r="F15" i="2"/>
  <c r="H15" i="2" s="1"/>
  <c r="M14" i="2"/>
  <c r="L14" i="2"/>
  <c r="N14" i="2" s="1"/>
  <c r="G14" i="2"/>
  <c r="F14" i="2"/>
  <c r="H14" i="2" s="1"/>
  <c r="M12" i="2"/>
  <c r="L12" i="2"/>
  <c r="N12" i="2" s="1"/>
  <c r="G11" i="2"/>
  <c r="G10" i="2"/>
  <c r="M11" i="2"/>
  <c r="M10" i="2"/>
  <c r="L11" i="2"/>
  <c r="N11" i="2" s="1"/>
  <c r="F11" i="2"/>
  <c r="H11" i="2" s="1"/>
  <c r="L10" i="2"/>
  <c r="N10" i="2" s="1"/>
  <c r="F10" i="2"/>
  <c r="H10" i="2" s="1"/>
  <c r="G7" i="2"/>
  <c r="G6" i="2"/>
  <c r="F7" i="2"/>
  <c r="H7" i="2" s="1"/>
  <c r="F6" i="2"/>
  <c r="H6" i="2" s="1"/>
  <c r="M7" i="2"/>
  <c r="M6" i="2"/>
  <c r="L6" i="2"/>
  <c r="N6" i="2" s="1"/>
  <c r="L7" i="2"/>
  <c r="N7" i="2" s="1"/>
  <c r="L8" i="2"/>
  <c r="N8" i="2" s="1"/>
  <c r="L4" i="2"/>
  <c r="N4" i="2" s="1"/>
  <c r="L3" i="2"/>
  <c r="N3" i="2" s="1"/>
  <c r="F4" i="2"/>
  <c r="H4" i="2" s="1"/>
  <c r="F3" i="2"/>
  <c r="H3" i="2" s="1"/>
</calcChain>
</file>

<file path=xl/sharedStrings.xml><?xml version="1.0" encoding="utf-8"?>
<sst xmlns="http://schemas.openxmlformats.org/spreadsheetml/2006/main" count="26" uniqueCount="20">
  <si>
    <t>moves</t>
  </si>
  <si>
    <t>moves/sec</t>
  </si>
  <si>
    <t>time (msec)</t>
  </si>
  <si>
    <t>depth</t>
  </si>
  <si>
    <t>date</t>
  </si>
  <si>
    <t>commit</t>
  </si>
  <si>
    <t>gain</t>
  </si>
  <si>
    <t>stockfish livello 1</t>
  </si>
  <si>
    <t>vinto</t>
  </si>
  <si>
    <t>https://lichess.org/</t>
  </si>
  <si>
    <t>classic</t>
  </si>
  <si>
    <t>bulk</t>
  </si>
  <si>
    <t>vs target (80M)</t>
  </si>
  <si>
    <t>note</t>
  </si>
  <si>
    <t>porting c++ piu' qualche miglioria</t>
  </si>
  <si>
    <t>undo simulation move</t>
  </si>
  <si>
    <t>miglioria nella moves generator</t>
  </si>
  <si>
    <t>vector pool</t>
  </si>
  <si>
    <t>improved calculateCheckPositions</t>
  </si>
  <si>
    <t>moves 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</si>
</sst>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5" fillId="4" borderId="0" applyNumberFormat="0" applyBorder="0" applyAlignment="0" applyProtection="0"/>
  </cellStyleXfs>
  <cellXfs count="28">
    <xf numFmtId="0" fontId="0" fillId="0" borderId="0" xfId="0"/>
    <xf numFmtId="1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" xfId="0" applyBorder="1"/>
    <xf numFmtId="3" fontId="0" fillId="0" borderId="0" xfId="0" applyNumberFormat="1"/>
    <xf numFmtId="1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0" fontId="2" fillId="2" borderId="3" xfId="1" applyNumberFormat="1" applyBorder="1"/>
    <xf numFmtId="0" fontId="0" fillId="0" borderId="3" xfId="0" applyBorder="1"/>
    <xf numFmtId="0" fontId="0" fillId="0" borderId="5" xfId="0" applyBorder="1" applyAlignment="1">
      <alignment horizontal="center"/>
    </xf>
    <xf numFmtId="1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5" xfId="0" applyBorder="1"/>
    <xf numFmtId="3" fontId="0" fillId="0" borderId="1" xfId="0" applyNumberFormat="1" applyBorder="1"/>
    <xf numFmtId="10" fontId="2" fillId="2" borderId="5" xfId="1" applyNumberFormat="1" applyBorder="1"/>
    <xf numFmtId="10" fontId="5" fillId="4" borderId="0" xfId="3" applyNumberFormat="1" applyBorder="1"/>
    <xf numFmtId="10" fontId="5" fillId="4" borderId="1" xfId="3" applyNumberFormat="1" applyBorder="1"/>
    <xf numFmtId="0" fontId="0" fillId="0" borderId="9" xfId="0" applyBorder="1"/>
    <xf numFmtId="1" fontId="0" fillId="0" borderId="1" xfId="0" applyNumberFormat="1" applyBorder="1"/>
    <xf numFmtId="10" fontId="2" fillId="2" borderId="1" xfId="1" applyNumberFormat="1" applyBorder="1"/>
    <xf numFmtId="10" fontId="2" fillId="2" borderId="0" xfId="1" applyNumberFormat="1" applyBorder="1"/>
    <xf numFmtId="0" fontId="4" fillId="3" borderId="7" xfId="2" applyFont="1" applyBorder="1" applyAlignment="1">
      <alignment horizontal="center"/>
    </xf>
    <xf numFmtId="0" fontId="4" fillId="3" borderId="6" xfId="2" applyFont="1" applyBorder="1" applyAlignment="1">
      <alignment horizontal="center"/>
    </xf>
    <xf numFmtId="0" fontId="4" fillId="3" borderId="8" xfId="2" applyFont="1" applyBorder="1" applyAlignment="1">
      <alignment horizontal="center"/>
    </xf>
    <xf numFmtId="0" fontId="3" fillId="3" borderId="7" xfId="2" applyBorder="1" applyAlignment="1">
      <alignment horizontal="center"/>
    </xf>
    <xf numFmtId="0" fontId="3" fillId="3" borderId="6" xfId="2" applyBorder="1" applyAlignment="1">
      <alignment horizontal="center"/>
    </xf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63397-ACCF-47C4-BDCB-8082DFD2DBBB}">
  <dimension ref="A1:P29"/>
  <sheetViews>
    <sheetView tabSelected="1" workbookViewId="0">
      <selection activeCell="L29" sqref="L29"/>
    </sheetView>
  </sheetViews>
  <sheetFormatPr defaultColWidth="16.140625" defaultRowHeight="15" x14ac:dyDescent="0.25"/>
  <cols>
    <col min="2" max="2" width="16.140625" style="9"/>
    <col min="3" max="3" width="11.5703125" customWidth="1"/>
    <col min="8" max="8" width="16.140625" style="9"/>
  </cols>
  <sheetData>
    <row r="1" spans="1:16" x14ac:dyDescent="0.25">
      <c r="A1" s="3"/>
      <c r="B1" s="10"/>
      <c r="C1" s="23" t="s">
        <v>10</v>
      </c>
      <c r="D1" s="24"/>
      <c r="E1" s="24"/>
      <c r="F1" s="24"/>
      <c r="G1" s="24"/>
      <c r="H1" s="25"/>
      <c r="I1" s="26" t="s">
        <v>11</v>
      </c>
      <c r="J1" s="27"/>
      <c r="K1" s="27"/>
      <c r="L1" s="27"/>
      <c r="M1" s="27"/>
      <c r="N1" s="27"/>
      <c r="P1" t="s">
        <v>13</v>
      </c>
    </row>
    <row r="2" spans="1:16" x14ac:dyDescent="0.25">
      <c r="A2" s="6" t="s">
        <v>4</v>
      </c>
      <c r="B2" s="7" t="s">
        <v>5</v>
      </c>
      <c r="C2" s="6" t="s">
        <v>3</v>
      </c>
      <c r="D2" s="6" t="s">
        <v>0</v>
      </c>
      <c r="E2" s="6" t="s">
        <v>2</v>
      </c>
      <c r="F2" s="6" t="s">
        <v>1</v>
      </c>
      <c r="G2" s="6" t="s">
        <v>6</v>
      </c>
      <c r="H2" s="7" t="s">
        <v>12</v>
      </c>
      <c r="I2" s="6" t="s">
        <v>3</v>
      </c>
      <c r="J2" s="6" t="s">
        <v>0</v>
      </c>
      <c r="K2" s="6" t="s">
        <v>2</v>
      </c>
      <c r="L2" s="6" t="s">
        <v>1</v>
      </c>
      <c r="M2" s="6" t="s">
        <v>6</v>
      </c>
      <c r="N2" s="7" t="s">
        <v>12</v>
      </c>
    </row>
    <row r="3" spans="1:16" x14ac:dyDescent="0.25">
      <c r="A3" s="2">
        <v>45404</v>
      </c>
      <c r="B3" s="11"/>
      <c r="C3">
        <v>4</v>
      </c>
      <c r="D3" s="4">
        <v>206603</v>
      </c>
      <c r="E3" s="1">
        <v>1100</v>
      </c>
      <c r="F3" s="4">
        <f>D3/E3*1000</f>
        <v>187820.90909090909</v>
      </c>
      <c r="H3" s="8">
        <f>(F3-80000000)/80000000</f>
        <v>-0.99765223863636365</v>
      </c>
      <c r="I3">
        <v>4</v>
      </c>
      <c r="J3" s="4">
        <v>197281</v>
      </c>
      <c r="K3">
        <v>62</v>
      </c>
      <c r="L3" s="4">
        <f>J3/K3*1000</f>
        <v>3181951.6129032257</v>
      </c>
      <c r="N3" s="8">
        <f>(L3-80000000)/80000000</f>
        <v>-0.96022560483870967</v>
      </c>
    </row>
    <row r="4" spans="1:16" x14ac:dyDescent="0.25">
      <c r="B4" s="12"/>
      <c r="C4">
        <v>5</v>
      </c>
      <c r="D4">
        <v>5072212</v>
      </c>
      <c r="E4">
        <v>42000</v>
      </c>
      <c r="F4" s="4">
        <f>D4/E4*1000</f>
        <v>120766.95238095238</v>
      </c>
      <c r="H4" s="8">
        <f>(F4-80000000)/80000000</f>
        <v>-0.99849041309523801</v>
      </c>
      <c r="I4">
        <v>5</v>
      </c>
      <c r="J4" s="4">
        <v>4880523</v>
      </c>
      <c r="K4">
        <v>945</v>
      </c>
      <c r="L4" s="4">
        <f>J4/K4*1000</f>
        <v>5164574.6031746026</v>
      </c>
      <c r="N4" s="8">
        <f>(L4-80000000)/80000000</f>
        <v>-0.93544281746031754</v>
      </c>
    </row>
    <row r="6" spans="1:16" x14ac:dyDescent="0.25">
      <c r="A6" s="13">
        <v>45553</v>
      </c>
      <c r="B6" s="14"/>
      <c r="C6" s="19">
        <v>4</v>
      </c>
      <c r="D6" s="15">
        <v>206603</v>
      </c>
      <c r="E6" s="20">
        <v>909</v>
      </c>
      <c r="F6" s="15">
        <f>D6/E6*1000</f>
        <v>227286.02860286029</v>
      </c>
      <c r="G6" s="18">
        <f>(E3-E6)/E3</f>
        <v>0.17363636363636364</v>
      </c>
      <c r="H6" s="16">
        <f>(F6-80000000)/80000000</f>
        <v>-0.99715892464246436</v>
      </c>
      <c r="I6" s="3">
        <v>4</v>
      </c>
      <c r="J6" s="15">
        <v>197281</v>
      </c>
      <c r="K6" s="3">
        <v>48</v>
      </c>
      <c r="L6" s="15">
        <f>J6/K6*1000</f>
        <v>4110020.833333333</v>
      </c>
      <c r="M6" s="18">
        <f>(K3-K6)/K3</f>
        <v>0.22580645161290322</v>
      </c>
      <c r="N6" s="16">
        <f>(L6-80000000)/80000000</f>
        <v>-0.94862473958333338</v>
      </c>
      <c r="P6" t="s">
        <v>14</v>
      </c>
    </row>
    <row r="7" spans="1:16" x14ac:dyDescent="0.25">
      <c r="C7">
        <v>5</v>
      </c>
      <c r="D7">
        <v>5072212</v>
      </c>
      <c r="E7">
        <v>34300</v>
      </c>
      <c r="F7" s="4">
        <f>D7/E7*1000</f>
        <v>147877.90087463558</v>
      </c>
      <c r="G7" s="17">
        <f>(E4-E7)/E4</f>
        <v>0.18333333333333332</v>
      </c>
      <c r="H7" s="8">
        <f>(F7-80000000)/80000000</f>
        <v>-0.99815152623906711</v>
      </c>
      <c r="I7">
        <v>5</v>
      </c>
      <c r="J7" s="4">
        <v>4880523</v>
      </c>
      <c r="K7">
        <v>727</v>
      </c>
      <c r="L7" s="4">
        <f>J7/K7*1000</f>
        <v>6713236.5887207706</v>
      </c>
      <c r="M7" s="17">
        <f>(K4-K7)/K4</f>
        <v>0.23068783068783069</v>
      </c>
      <c r="N7" s="8">
        <f>(L7-80000000)/80000000</f>
        <v>-0.91608454264099037</v>
      </c>
    </row>
    <row r="8" spans="1:16" x14ac:dyDescent="0.25">
      <c r="I8">
        <v>6</v>
      </c>
      <c r="J8" s="4">
        <v>119060324</v>
      </c>
      <c r="K8">
        <v>29235</v>
      </c>
      <c r="L8" s="4">
        <f>J8/K8*1000</f>
        <v>4072526.9026851379</v>
      </c>
      <c r="N8" s="8">
        <f>(L8-80000000)/80000000</f>
        <v>-0.94909341371643585</v>
      </c>
    </row>
    <row r="10" spans="1:16" x14ac:dyDescent="0.25">
      <c r="A10" s="13">
        <v>45554</v>
      </c>
      <c r="B10" s="14"/>
      <c r="C10" s="19">
        <v>4</v>
      </c>
      <c r="D10" s="15">
        <v>206603</v>
      </c>
      <c r="E10" s="20">
        <v>822</v>
      </c>
      <c r="F10" s="15">
        <f>D10/E10*1000</f>
        <v>251341.84914841849</v>
      </c>
      <c r="G10" s="18">
        <f>(E6-E10)/E6</f>
        <v>9.5709570957095716E-2</v>
      </c>
      <c r="H10" s="16">
        <f>(F10-80000000)/80000000</f>
        <v>-0.99685822688564474</v>
      </c>
      <c r="I10" s="3">
        <v>4</v>
      </c>
      <c r="J10" s="15">
        <v>197281</v>
      </c>
      <c r="K10" s="3">
        <v>42</v>
      </c>
      <c r="L10" s="15">
        <f>J10/K10*1000</f>
        <v>4697166.666666667</v>
      </c>
      <c r="M10" s="18">
        <f>(K6-K10)/K6</f>
        <v>0.125</v>
      </c>
      <c r="N10" s="16">
        <f>(L10-80000000)/80000000</f>
        <v>-0.94128541666666665</v>
      </c>
      <c r="P10" t="s">
        <v>16</v>
      </c>
    </row>
    <row r="11" spans="1:16" x14ac:dyDescent="0.25">
      <c r="C11">
        <v>5</v>
      </c>
      <c r="D11">
        <v>5072212</v>
      </c>
      <c r="E11">
        <v>30566</v>
      </c>
      <c r="F11" s="4">
        <f>D11/E11*1000</f>
        <v>165942.94313943599</v>
      </c>
      <c r="G11" s="17">
        <f>(E7-E11)/E7</f>
        <v>0.10886297376093294</v>
      </c>
      <c r="H11" s="8">
        <f>(F11-80000000)/80000000</f>
        <v>-0.99792571321075707</v>
      </c>
      <c r="I11">
        <v>5</v>
      </c>
      <c r="J11" s="4">
        <v>4880523</v>
      </c>
      <c r="K11">
        <v>631</v>
      </c>
      <c r="L11" s="4">
        <f>J11/K11*1000</f>
        <v>7734584.7860538829</v>
      </c>
      <c r="M11" s="17">
        <f>(K7-K11)/K7</f>
        <v>0.13204951856946354</v>
      </c>
      <c r="N11" s="8">
        <f>(L11-80000000)/80000000</f>
        <v>-0.9033176901743265</v>
      </c>
    </row>
    <row r="12" spans="1:16" x14ac:dyDescent="0.25">
      <c r="I12">
        <v>6</v>
      </c>
      <c r="J12" s="4">
        <v>119060324</v>
      </c>
      <c r="K12">
        <v>25861</v>
      </c>
      <c r="L12" s="4">
        <f>J12/K12*1000</f>
        <v>4603856.1540543679</v>
      </c>
      <c r="M12" s="17">
        <f>(K8-K12)/K8</f>
        <v>0.11540961176671798</v>
      </c>
      <c r="N12" s="8">
        <f>(L12-80000000)/80000000</f>
        <v>-0.94245179807432033</v>
      </c>
    </row>
    <row r="14" spans="1:16" x14ac:dyDescent="0.25">
      <c r="A14" s="13">
        <v>45557</v>
      </c>
      <c r="B14" s="14"/>
      <c r="C14" s="19">
        <v>4</v>
      </c>
      <c r="D14" s="15">
        <v>206603</v>
      </c>
      <c r="E14" s="20">
        <v>778</v>
      </c>
      <c r="F14" s="15">
        <f>D14/E14*1000</f>
        <v>265556.55526992283</v>
      </c>
      <c r="G14" s="18">
        <f>(E10-E14)/E10</f>
        <v>5.3527980535279802E-2</v>
      </c>
      <c r="H14" s="16">
        <f>(F14-80000000)/80000000</f>
        <v>-0.9966805430591259</v>
      </c>
      <c r="I14" s="3">
        <v>4</v>
      </c>
      <c r="J14" s="15">
        <v>197281</v>
      </c>
      <c r="K14" s="3">
        <v>42</v>
      </c>
      <c r="L14" s="15">
        <f>J14/K14*1000</f>
        <v>4697166.666666667</v>
      </c>
      <c r="M14" s="18">
        <f>(K10-K14)/K10</f>
        <v>0</v>
      </c>
      <c r="N14" s="16">
        <f>(L14-80000000)/80000000</f>
        <v>-0.94128541666666665</v>
      </c>
      <c r="P14" t="s">
        <v>15</v>
      </c>
    </row>
    <row r="15" spans="1:16" x14ac:dyDescent="0.25">
      <c r="C15">
        <v>5</v>
      </c>
      <c r="D15">
        <v>5072212</v>
      </c>
      <c r="E15">
        <v>30233</v>
      </c>
      <c r="F15" s="4">
        <f>D15/E15*1000</f>
        <v>167770.71412033209</v>
      </c>
      <c r="G15" s="17">
        <f>(E11-E15)/E11</f>
        <v>1.0894457894392463E-2</v>
      </c>
      <c r="H15" s="8">
        <f>(F15-80000000)/80000000</f>
        <v>-0.99790286607349588</v>
      </c>
      <c r="I15">
        <v>5</v>
      </c>
      <c r="J15" s="4">
        <v>4880523</v>
      </c>
      <c r="K15">
        <v>570</v>
      </c>
      <c r="L15" s="4">
        <f>J15/K15*1000</f>
        <v>8562321.0526315793</v>
      </c>
      <c r="M15" s="17">
        <f>(K11-K15)/K11</f>
        <v>9.6671949286846276E-2</v>
      </c>
      <c r="N15" s="8">
        <f>(L15-80000000)/80000000</f>
        <v>-0.89297098684210519</v>
      </c>
    </row>
    <row r="16" spans="1:16" x14ac:dyDescent="0.25">
      <c r="I16">
        <v>6</v>
      </c>
      <c r="J16" s="4">
        <v>119060324</v>
      </c>
      <c r="K16">
        <v>25569</v>
      </c>
      <c r="L16" s="4">
        <f>J16/K16*1000</f>
        <v>4656432.5550471274</v>
      </c>
      <c r="M16" s="17">
        <f>(K12-K16)/K12</f>
        <v>1.129113336684583E-2</v>
      </c>
      <c r="N16" s="8">
        <f>(L16-80000000)/80000000</f>
        <v>-0.94179459306191093</v>
      </c>
    </row>
    <row r="18" spans="1:16" x14ac:dyDescent="0.25">
      <c r="A18" s="13">
        <v>45559</v>
      </c>
      <c r="B18" s="14"/>
      <c r="C18" s="19">
        <v>4</v>
      </c>
      <c r="D18" s="15">
        <v>206603</v>
      </c>
      <c r="E18" s="20">
        <v>641</v>
      </c>
      <c r="F18" s="15">
        <f>D18/E18*1000</f>
        <v>322313.57254290173</v>
      </c>
      <c r="G18" s="18">
        <f>(E14-E18)/E14</f>
        <v>0.17609254498714652</v>
      </c>
      <c r="H18" s="16">
        <f>(F18-80000000)/80000000</f>
        <v>-0.99597108034321369</v>
      </c>
      <c r="I18" s="3">
        <v>4</v>
      </c>
      <c r="J18" s="15">
        <v>197281</v>
      </c>
      <c r="K18" s="3">
        <v>17</v>
      </c>
      <c r="L18" s="15">
        <f>J18/K18*1000</f>
        <v>11604764.705882354</v>
      </c>
      <c r="M18" s="18">
        <f>(K14-K18)/K14</f>
        <v>0.59523809523809523</v>
      </c>
      <c r="N18" s="16">
        <f>(L18-80000000)/80000000</f>
        <v>-0.8549404411764705</v>
      </c>
      <c r="P18" t="s">
        <v>17</v>
      </c>
    </row>
    <row r="19" spans="1:16" x14ac:dyDescent="0.25">
      <c r="C19">
        <v>5</v>
      </c>
      <c r="D19">
        <v>5072212</v>
      </c>
      <c r="E19">
        <v>16048</v>
      </c>
      <c r="F19" s="4">
        <f>D19/E19*1000</f>
        <v>316065.0548354935</v>
      </c>
      <c r="G19" s="17">
        <f>(E15-E19)/E15</f>
        <v>0.4691892964641286</v>
      </c>
      <c r="H19" s="8">
        <f>(F19-80000000)/80000000</f>
        <v>-0.99604918681455623</v>
      </c>
      <c r="I19">
        <v>5</v>
      </c>
      <c r="J19" s="4">
        <v>4880523</v>
      </c>
      <c r="K19">
        <v>432</v>
      </c>
      <c r="L19" s="4">
        <f>J19/K19*1000</f>
        <v>11297506.944444446</v>
      </c>
      <c r="M19" s="17">
        <f>(K15-K19)/K15</f>
        <v>0.24210526315789474</v>
      </c>
      <c r="N19" s="8">
        <f>(L19-80000000)/80000000</f>
        <v>-0.85878116319444442</v>
      </c>
    </row>
    <row r="20" spans="1:16" x14ac:dyDescent="0.25">
      <c r="I20">
        <v>6</v>
      </c>
      <c r="J20" s="4">
        <v>119060324</v>
      </c>
      <c r="K20">
        <v>10799</v>
      </c>
      <c r="L20" s="4">
        <f>J20/K20*1000</f>
        <v>11025124.918973979</v>
      </c>
      <c r="M20" s="17">
        <f>(K16-K20)/K16</f>
        <v>0.57765262622707181</v>
      </c>
      <c r="N20" s="8">
        <f>(L20-80000000)/80000000</f>
        <v>-0.86218593851282521</v>
      </c>
    </row>
    <row r="22" spans="1:16" x14ac:dyDescent="0.25">
      <c r="A22" s="13">
        <v>45562</v>
      </c>
      <c r="B22" s="14"/>
      <c r="C22" s="19">
        <v>4</v>
      </c>
      <c r="D22" s="15">
        <v>206603</v>
      </c>
      <c r="E22" s="20">
        <v>595</v>
      </c>
      <c r="F22" s="15">
        <f>D22/E22*1000</f>
        <v>347231.93277310923</v>
      </c>
      <c r="G22" s="18">
        <f>(E18-E22)/E18</f>
        <v>7.1762870514820595E-2</v>
      </c>
      <c r="H22" s="16">
        <f>(F22-80000000)/80000000</f>
        <v>-0.99565960084033611</v>
      </c>
      <c r="I22" s="3">
        <v>4</v>
      </c>
      <c r="J22" s="15">
        <v>197281</v>
      </c>
      <c r="K22" s="3">
        <v>18</v>
      </c>
      <c r="L22" s="15">
        <f>J22/K22*1000</f>
        <v>10960055.555555554</v>
      </c>
      <c r="M22" s="21">
        <f>(K18-K22)/K18</f>
        <v>-5.8823529411764705E-2</v>
      </c>
      <c r="N22" s="16">
        <f>(L22-80000000)/80000000</f>
        <v>-0.8629993055555556</v>
      </c>
      <c r="P22" t="s">
        <v>18</v>
      </c>
    </row>
    <row r="23" spans="1:16" x14ac:dyDescent="0.25">
      <c r="C23">
        <v>5</v>
      </c>
      <c r="D23">
        <v>5072212</v>
      </c>
      <c r="E23">
        <v>15248</v>
      </c>
      <c r="F23" s="4">
        <f>D23/E23*1000</f>
        <v>332647.6915005247</v>
      </c>
      <c r="G23" s="17">
        <f>(E19-E23)/E19</f>
        <v>4.9850448654037885E-2</v>
      </c>
      <c r="H23" s="8">
        <f>(F23-80000000)/80000000</f>
        <v>-0.99584190385624338</v>
      </c>
      <c r="I23">
        <v>5</v>
      </c>
      <c r="J23" s="4">
        <v>4880523</v>
      </c>
      <c r="K23">
        <v>435</v>
      </c>
      <c r="L23" s="4">
        <f>J23/K23*1000</f>
        <v>11219593.103448277</v>
      </c>
      <c r="M23" s="22">
        <f>(K19-K23)/K19</f>
        <v>-6.9444444444444441E-3</v>
      </c>
      <c r="N23" s="8">
        <f>(L23-80000000)/80000000</f>
        <v>-0.85975508620689656</v>
      </c>
    </row>
    <row r="24" spans="1:16" x14ac:dyDescent="0.25">
      <c r="I24">
        <v>6</v>
      </c>
      <c r="J24" s="4">
        <v>119060324</v>
      </c>
      <c r="K24">
        <v>11539</v>
      </c>
      <c r="L24" s="4">
        <f>J24/K24*1000</f>
        <v>10318079.902937863</v>
      </c>
      <c r="M24" s="22">
        <f>(K20-K24)/K20</f>
        <v>-6.8524863413279014E-2</v>
      </c>
      <c r="N24" s="8">
        <f>(L24-80000000)/80000000</f>
        <v>-0.87102400121327672</v>
      </c>
    </row>
    <row r="26" spans="1:16" x14ac:dyDescent="0.25">
      <c r="A26" s="13">
        <v>45563</v>
      </c>
      <c r="B26" s="14"/>
      <c r="C26" s="19">
        <v>4</v>
      </c>
      <c r="D26" s="15">
        <v>206603</v>
      </c>
      <c r="E26" s="20">
        <v>619</v>
      </c>
      <c r="F26" s="15">
        <f>D26/E26*1000</f>
        <v>333768.98222940223</v>
      </c>
      <c r="G26" s="21">
        <f>(E22-E26)/E22</f>
        <v>-4.0336134453781515E-2</v>
      </c>
      <c r="H26" s="16">
        <f>(F26-80000000)/80000000</f>
        <v>-0.99582788772213249</v>
      </c>
      <c r="I26" s="3">
        <v>4</v>
      </c>
      <c r="J26" s="15">
        <v>197281</v>
      </c>
      <c r="K26" s="3">
        <v>25</v>
      </c>
      <c r="L26" s="15">
        <f>J26/K26*1000</f>
        <v>7891240</v>
      </c>
      <c r="M26" s="21">
        <f>(K22-K26)/K22</f>
        <v>-0.3888888888888889</v>
      </c>
      <c r="N26" s="16">
        <f>(L26-80000000)/80000000</f>
        <v>-0.90135949999999998</v>
      </c>
      <c r="P26" t="s">
        <v>19</v>
      </c>
    </row>
    <row r="27" spans="1:16" x14ac:dyDescent="0.25">
      <c r="C27">
        <v>5</v>
      </c>
      <c r="D27">
        <v>5072212</v>
      </c>
      <c r="E27">
        <v>11632</v>
      </c>
      <c r="F27" s="4">
        <f>D27/E27*1000</f>
        <v>436056.74002751033</v>
      </c>
      <c r="G27" s="17">
        <f>(E23-E27)/E23</f>
        <v>0.23714585519412382</v>
      </c>
      <c r="H27" s="8">
        <f>(F27-80000000)/80000000</f>
        <v>-0.99454929074965603</v>
      </c>
      <c r="I27">
        <v>5</v>
      </c>
      <c r="J27" s="4">
        <v>4880523</v>
      </c>
      <c r="K27">
        <v>429</v>
      </c>
      <c r="L27" s="4">
        <f>J27/K27*1000</f>
        <v>11376510.489510488</v>
      </c>
      <c r="M27" s="17">
        <f>(K23-K27)/K23</f>
        <v>1.3793103448275862E-2</v>
      </c>
      <c r="N27" s="8">
        <f>(L27-80000000)/80000000</f>
        <v>-0.85779361888111882</v>
      </c>
    </row>
    <row r="28" spans="1:16" x14ac:dyDescent="0.25">
      <c r="I28">
        <v>6</v>
      </c>
      <c r="J28" s="4">
        <v>119060324</v>
      </c>
      <c r="K28">
        <v>7892</v>
      </c>
      <c r="L28" s="4">
        <f>J28/K28*1000</f>
        <v>15086204.257475926</v>
      </c>
      <c r="M28" s="17">
        <f>(K24-K28)/K24</f>
        <v>0.31605858393274983</v>
      </c>
      <c r="N28" s="8">
        <f>(L28-80000000)/80000000</f>
        <v>-0.81142244678155095</v>
      </c>
    </row>
    <row r="29" spans="1:16" x14ac:dyDescent="0.25">
      <c r="I29">
        <v>7</v>
      </c>
      <c r="J29" s="4">
        <v>3195901860</v>
      </c>
      <c r="K29">
        <v>151609</v>
      </c>
      <c r="L29" s="4">
        <f>J29/K29*1000</f>
        <v>21079895.38879618</v>
      </c>
      <c r="N29" s="22">
        <f>(L29-80000000)/80000000</f>
        <v>-0.73650130764004773</v>
      </c>
    </row>
  </sheetData>
  <mergeCells count="2">
    <mergeCell ref="C1:H1"/>
    <mergeCell ref="I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5FBE-6CEE-4FC7-9DB1-7F508BD751AB}">
  <dimension ref="A1:D1"/>
  <sheetViews>
    <sheetView workbookViewId="0">
      <selection activeCell="H12" sqref="H12"/>
    </sheetView>
  </sheetViews>
  <sheetFormatPr defaultColWidth="12.140625" defaultRowHeight="15" x14ac:dyDescent="0.25"/>
  <cols>
    <col min="1" max="1" width="8.42578125" bestFit="1" customWidth="1"/>
    <col min="2" max="2" width="16.42578125" bestFit="1" customWidth="1"/>
    <col min="3" max="3" width="5.5703125" bestFit="1" customWidth="1"/>
    <col min="4" max="4" width="18.42578125" bestFit="1" customWidth="1"/>
  </cols>
  <sheetData>
    <row r="1" spans="1:4" x14ac:dyDescent="0.25">
      <c r="A1" s="5">
        <v>45393</v>
      </c>
      <c r="B1" t="s">
        <v>7</v>
      </c>
      <c r="C1" t="s">
        <v>8</v>
      </c>
      <c r="D1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Position Single Thread</vt:lpstr>
      <vt:lpstr>vs other Enignes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 Audisio</cp:lastModifiedBy>
  <dcterms:created xsi:type="dcterms:W3CDTF">2023-07-06T17:20:55Z</dcterms:created>
  <dcterms:modified xsi:type="dcterms:W3CDTF">2024-09-27T23:23:15Z</dcterms:modified>
</cp:coreProperties>
</file>