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<sst xmlns="http://schemas.openxmlformats.org/spreadsheetml/2006/main" count="43" uniqueCount="37">
  <si>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</si>
  <si>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</si>
  <si>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</si>
  <si>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</si>
  <si>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</si>
  <si>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</si>
  <si>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</si>
  <si>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</si>
  <si>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</si>
  <si>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</si>
  <si>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</si>
  <si>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</si>
  <si>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</si>
  <si>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</si>
  <si>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</si>
  <si>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</si>
  <si>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</si>
  <si>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</si>
  <si>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</si>
  <si>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</si>
  <si>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</si>
  <si>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</si>
  <si>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</si>
  <si>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</si>
  <si>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</si>
  <si>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</si>
  <si>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</si>
  <si>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</si>
  <si>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</si>
  <si>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</si>
  <si>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</si>
  <si>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added functions map for destination calculation</t>
  </si>
  <si>
    <t xml:space="preserve">added pawn attacks functional maps</t>
  </si>
  <si>
    <t xml:space="preserve">replaced unsigned char with unsigned int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</si>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</sst>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2"/>
  <sheetViews>
    <sheetView showFormulas="false" showGridLines="true" showRowColHeaders="true" showZeros="true" rightToLeft="false" tabSelected="true" showOutlineSymbols="true" defaultGridColor="true" view="normal" topLeftCell="A42" colorId="64" zoomScale="100" zoomScaleNormal="100" zoomScalePageLayoutView="100" workbookViewId="0">
      <selection pane="topLeft" activeCell="F82" activeCellId="0" sqref="F82"/>
    </sheetView>
  </sheetViews>
  <sheetFormatPr defaultColWidth="16.1484375" defaultRowHeight="15" customHeight="true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14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14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2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14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2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2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14" t="n">
        <f aca="false">(K68-K77)/K68</f>
        <v>-0.031390134529148</v>
      </c>
      <c r="N77" s="14" t="n">
        <f aca="false">(L77-80000000)/80000000</f>
        <v>-0.734754184782609</v>
      </c>
      <c r="P77" s="0" t="s">
        <v>31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  <row r="80" customFormat="false" ht="15" hidden="false" customHeight="true" outlineLevel="0" collapsed="false">
      <c r="A80" s="16" t="n">
        <v>45961</v>
      </c>
      <c r="B80" s="17"/>
      <c r="C80" s="18" t="n">
        <v>4</v>
      </c>
      <c r="D80" s="19" t="n">
        <v>206603</v>
      </c>
      <c r="E80" s="20" t="n">
        <v>249</v>
      </c>
      <c r="F80" s="19" t="n">
        <f aca="false">D80/E80*1000</f>
        <v>829730.923694779</v>
      </c>
      <c r="G80" s="35" t="n">
        <f aca="false">(E76-E80)/E76</f>
        <v>0.0945454545454545</v>
      </c>
      <c r="H80" s="22" t="n">
        <f aca="false">(F80-80000000)/80000000</f>
        <v>-0.989628363453815</v>
      </c>
      <c r="I80" s="3" t="n">
        <v>4</v>
      </c>
      <c r="J80" s="19" t="n">
        <v>197281</v>
      </c>
      <c r="K80" s="3" t="n">
        <v>9</v>
      </c>
      <c r="L80" s="19" t="n">
        <f aca="false">J80/K80*1000</f>
        <v>21920111.1111111</v>
      </c>
      <c r="M80" s="35" t="n">
        <f aca="false">(K76-K80)/K76</f>
        <v>0</v>
      </c>
      <c r="N80" s="22" t="n">
        <f aca="false">(L80-80000000)/80000000</f>
        <v>-0.725998611111111</v>
      </c>
      <c r="P80" s="0" t="s">
        <v>32</v>
      </c>
    </row>
    <row r="81" customFormat="false" ht="15" hidden="false" customHeight="true" outlineLevel="0" collapsed="false">
      <c r="C81" s="2" t="n">
        <v>5</v>
      </c>
      <c r="D81" s="2" t="n">
        <v>5072212</v>
      </c>
      <c r="E81" s="2" t="n">
        <v>6742</v>
      </c>
      <c r="F81" s="12" t="n">
        <f aca="false">D81/E81*1000</f>
        <v>752330.46573717</v>
      </c>
      <c r="G81" s="23" t="n">
        <f aca="false">(E77-E81)/E77</f>
        <v>0.0389166072701354</v>
      </c>
      <c r="H81" s="14" t="n">
        <f aca="false">(F81-80000000)/80000000</f>
        <v>-0.990595869178286</v>
      </c>
      <c r="I81" s="2" t="n">
        <v>5</v>
      </c>
      <c r="J81" s="12" t="n">
        <v>4880523</v>
      </c>
      <c r="K81" s="2" t="n">
        <v>206</v>
      </c>
      <c r="L81" s="12" t="n">
        <f aca="false">J81/K81*1000</f>
        <v>23691859.223301</v>
      </c>
      <c r="M81" s="37" t="n">
        <f aca="false">(K77-K81)/K77</f>
        <v>0.104347826086957</v>
      </c>
      <c r="N81" s="14" t="n">
        <f aca="false">(L81-80000000)/80000000</f>
        <v>-0.703851759708738</v>
      </c>
      <c r="P81" s="0" t="s">
        <v>33</v>
      </c>
    </row>
    <row r="82" customFormat="false" ht="15" hidden="false" customHeight="true" outlineLevel="0" collapsed="false">
      <c r="I82" s="2" t="n">
        <v>6</v>
      </c>
      <c r="J82" s="12" t="n">
        <v>119060324</v>
      </c>
      <c r="K82" s="2" t="n">
        <v>5611</v>
      </c>
      <c r="L82" s="12" t="n">
        <f aca="false">J82/K82*1000</f>
        <v>21219091.7839957</v>
      </c>
      <c r="M82" s="37" t="n">
        <f aca="false">(K78-K82)/K78</f>
        <v>0.0428181508017741</v>
      </c>
      <c r="N82" s="14" t="n">
        <f aca="false">(L82-80000000)/80000000</f>
        <v>-0.734761352700054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customHeight="true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8" t="n">
        <v>45393</v>
      </c>
      <c r="B1" s="7" t="s">
        <v>34</v>
      </c>
      <c r="C1" s="7" t="s">
        <v>35</v>
      </c>
      <c r="D1" s="7" t="s">
        <v>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709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2025-10-31T22:46:00Z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