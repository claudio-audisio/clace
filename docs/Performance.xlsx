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<sst xmlns="http://schemas.openxmlformats.org/spreadsheetml/2006/main" count="49" uniqueCount="43">
  <si>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</si>
  <si>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</si>
  <si>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</si>
  <si>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</si>
  <si>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</si>
  <si>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</si>
  <si>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</si>
  <si>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</si>
  <si>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</si>
  <si>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</si>
  <si>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</si>
  <si>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</si>
  <si>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</si>
  <si>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</si>
  <si>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</si>
  <si>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</si>
  <si>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</si>
  <si>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</si>
  <si>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</si>
  <si>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</si>
  <si>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</si>
  <si>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</si>
  <si>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</si>
  <si>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</si>
  <si>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</si>
  <si>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</si>
  <si>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</si>
  <si>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</si>
  <si>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</si>
  <si>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</si>
  <si>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</si>
  <si>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</si>
  <si>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</si>
  <si>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</si>
  <si>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</si>
  <si>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</si>
  <si>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fedora to debian mint</t>
  </si>
  <si>
    <t xml:space="preserve">changed board representation to the classic Little-Endian Rank-File Mapping</t>
  </si>
  <si>
    <t xml:space="preserve">downgrade to 32GB of RAM with minor performance</t>
  </si>
  <si>
    <t xml:space="preserve">Replaced cache with transposition table with Zobrist key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</si>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</sst>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true" showOutlineSymbols="true" defaultGridColor="true" view="normal" topLeftCell="A56" colorId="64" zoomScale="100" zoomScaleNormal="100" zoomScalePageLayoutView="100" workbookViewId="0">
      <selection pane="topLeft" activeCell="L103" activeCellId="0" sqref="L103"/>
    </sheetView>
  </sheetViews>
  <sheetFormatPr defaultColWidth="16.1523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  <row r="92" customFormat="false" ht="15" hidden="false" customHeight="true" outlineLevel="0" collapsed="false">
      <c r="A92" s="16" t="n">
        <v>45991</v>
      </c>
      <c r="B92" s="17"/>
      <c r="C92" s="18" t="n">
        <v>4</v>
      </c>
      <c r="D92" s="19" t="n">
        <v>206603</v>
      </c>
      <c r="E92" s="20" t="n">
        <v>207</v>
      </c>
      <c r="F92" s="19" t="n">
        <f aca="false">D92/E92*1000</f>
        <v>998082.125603865</v>
      </c>
      <c r="G92" s="24" t="n">
        <f aca="false">(E88-E92)/E88</f>
        <v>-0.0402010050251256</v>
      </c>
      <c r="H92" s="22" t="n">
        <f aca="false">(F92-80000000)/80000000</f>
        <v>-0.987523973429952</v>
      </c>
      <c r="I92" s="3" t="n">
        <v>4</v>
      </c>
      <c r="J92" s="19" t="n">
        <v>197281</v>
      </c>
      <c r="K92" s="3" t="n">
        <v>6</v>
      </c>
      <c r="L92" s="19" t="n">
        <f aca="false">J92/K92*1000</f>
        <v>32880166.6666667</v>
      </c>
      <c r="M92" s="24" t="n">
        <f aca="false">(K88-K92)/K88</f>
        <v>0</v>
      </c>
      <c r="N92" s="22" t="n">
        <f aca="false">(L92-80000000)/80000000</f>
        <v>-0.588997916666667</v>
      </c>
      <c r="P92" s="7" t="s">
        <v>36</v>
      </c>
    </row>
    <row r="93" customFormat="false" ht="15" hidden="false" customHeight="true" outlineLevel="0" collapsed="false">
      <c r="C93" s="2" t="n">
        <v>5</v>
      </c>
      <c r="D93" s="2" t="n">
        <v>5072212</v>
      </c>
      <c r="E93" s="2" t="n">
        <v>5126</v>
      </c>
      <c r="F93" s="12" t="n">
        <f aca="false">D93/E93*1000</f>
        <v>989506.827936013</v>
      </c>
      <c r="G93" s="25" t="n">
        <f aca="false">(E89-E93)/E89</f>
        <v>-0.0514871794871795</v>
      </c>
      <c r="H93" s="14" t="n">
        <f aca="false">(F93-80000000)/80000000</f>
        <v>-0.9876311646508</v>
      </c>
      <c r="I93" s="2" t="n">
        <v>5</v>
      </c>
      <c r="J93" s="12" t="n">
        <v>4880523</v>
      </c>
      <c r="K93" s="2" t="n">
        <v>167</v>
      </c>
      <c r="L93" s="12" t="n">
        <f aca="false">J93/K93*1000</f>
        <v>29224688.6227545</v>
      </c>
      <c r="M93" s="25" t="n">
        <f aca="false">(K89-K93)/K89</f>
        <v>-0.0774193548387097</v>
      </c>
      <c r="N93" s="14" t="n">
        <f aca="false">(L93-80000000)/80000000</f>
        <v>-0.634691392215569</v>
      </c>
    </row>
    <row r="94" customFormat="false" ht="15" hidden="false" customHeight="true" outlineLevel="0" collapsed="false">
      <c r="I94" s="2" t="n">
        <v>6</v>
      </c>
      <c r="J94" s="12" t="n">
        <v>119060324</v>
      </c>
      <c r="K94" s="2" t="n">
        <v>4097</v>
      </c>
      <c r="L94" s="12" t="n">
        <f aca="false">J94/K94*1000</f>
        <v>29060367.0978765</v>
      </c>
      <c r="M94" s="25" t="n">
        <f aca="false">(K90-K94)/K90</f>
        <v>-0.078725645076356</v>
      </c>
      <c r="N94" s="14" t="n">
        <f aca="false">(L94-80000000)/80000000</f>
        <v>-0.636745411276544</v>
      </c>
    </row>
    <row r="96" customFormat="false" ht="15" hidden="false" customHeight="false" outlineLevel="0" collapsed="false">
      <c r="A96" s="16" t="n">
        <v>46027</v>
      </c>
      <c r="B96" s="17"/>
      <c r="C96" s="18" t="n">
        <v>4</v>
      </c>
      <c r="D96" s="19" t="n">
        <v>206603</v>
      </c>
      <c r="E96" s="20" t="n">
        <v>218</v>
      </c>
      <c r="F96" s="19" t="n">
        <f aca="false">D96/E96*1000</f>
        <v>947720.183486239</v>
      </c>
      <c r="G96" s="24" t="n">
        <f aca="false">(E92-E96)/E92</f>
        <v>-0.0531400966183575</v>
      </c>
      <c r="H96" s="22" t="n">
        <f aca="false">(F96-80000000)/80000000</f>
        <v>-0.988153497706422</v>
      </c>
      <c r="I96" s="3" t="n">
        <v>4</v>
      </c>
      <c r="J96" s="19" t="n">
        <v>197281</v>
      </c>
      <c r="K96" s="3" t="n">
        <v>7</v>
      </c>
      <c r="L96" s="19" t="n">
        <f aca="false">J96/K96*1000</f>
        <v>28183000</v>
      </c>
      <c r="M96" s="24" t="n">
        <f aca="false">(K92-K96)/K92</f>
        <v>-0.166666666666667</v>
      </c>
      <c r="N96" s="22" t="n">
        <f aca="false">(L96-80000000)/80000000</f>
        <v>-0.6477125</v>
      </c>
      <c r="P96" s="7" t="s">
        <v>37</v>
      </c>
    </row>
    <row r="97" customFormat="false" ht="15" hidden="false" customHeight="false" outlineLevel="0" collapsed="false">
      <c r="C97" s="2" t="n">
        <v>5</v>
      </c>
      <c r="D97" s="2" t="n">
        <v>5072212</v>
      </c>
      <c r="E97" s="2" t="n">
        <v>5403</v>
      </c>
      <c r="F97" s="12" t="n">
        <f aca="false">D97/E97*1000</f>
        <v>938776.975754211</v>
      </c>
      <c r="G97" s="25" t="n">
        <f aca="false">(E93-E97)/E93</f>
        <v>-0.0540382364416699</v>
      </c>
      <c r="H97" s="14" t="n">
        <f aca="false">(F97-80000000)/80000000</f>
        <v>-0.988265287803072</v>
      </c>
      <c r="I97" s="2" t="n">
        <v>5</v>
      </c>
      <c r="J97" s="12" t="n">
        <v>4880523</v>
      </c>
      <c r="K97" s="2" t="n">
        <v>170</v>
      </c>
      <c r="L97" s="12" t="n">
        <f aca="false">J97/K97*1000</f>
        <v>28708958.8235294</v>
      </c>
      <c r="M97" s="25" t="n">
        <f aca="false">(K93-K97)/K93</f>
        <v>-0.0179640718562874</v>
      </c>
      <c r="N97" s="14" t="n">
        <f aca="false">(L97-80000000)/80000000</f>
        <v>-0.641138014705882</v>
      </c>
      <c r="P97" s="7" t="s">
        <v>38</v>
      </c>
    </row>
    <row r="98" customFormat="false" ht="15" hidden="false" customHeight="false" outlineLevel="0" collapsed="false">
      <c r="I98" s="2" t="n">
        <v>6</v>
      </c>
      <c r="J98" s="12" t="n">
        <v>119060324</v>
      </c>
      <c r="K98" s="2" t="n">
        <v>4295</v>
      </c>
      <c r="L98" s="12" t="n">
        <f aca="false">J98/K98*1000</f>
        <v>27720680.7916182</v>
      </c>
      <c r="M98" s="25" t="n">
        <f aca="false">(K94-K98)/K94</f>
        <v>-0.0483280449109104</v>
      </c>
      <c r="N98" s="14" t="n">
        <f aca="false">(L98-80000000)/80000000</f>
        <v>-0.653491490104773</v>
      </c>
    </row>
    <row r="100" customFormat="false" ht="15" hidden="false" customHeight="false" outlineLevel="0" collapsed="false">
      <c r="A100" s="16" t="n">
        <v>46040</v>
      </c>
      <c r="B100" s="27"/>
      <c r="C100" s="28" t="n">
        <v>4</v>
      </c>
      <c r="D100" s="29" t="n">
        <v>206603</v>
      </c>
      <c r="E100" s="30" t="n">
        <v>196</v>
      </c>
      <c r="F100" s="29" t="n">
        <f aca="false">D100/E100*1000</f>
        <v>1054096.93877551</v>
      </c>
      <c r="G100" s="35" t="n">
        <f aca="false">(E96-E100)/E96</f>
        <v>0.100917431192661</v>
      </c>
      <c r="H100" s="22" t="n">
        <f aca="false">(F100-80000000)/80000000</f>
        <v>-0.986823788265306</v>
      </c>
      <c r="I100" s="31" t="n">
        <v>4</v>
      </c>
      <c r="J100" s="29" t="n">
        <v>197281</v>
      </c>
      <c r="K100" s="31" t="n">
        <v>7</v>
      </c>
      <c r="L100" s="29" t="n">
        <f aca="false">J100/K100*1000</f>
        <v>28183000</v>
      </c>
      <c r="M100" s="35" t="n">
        <f aca="false">(K96-K100)/K96</f>
        <v>0</v>
      </c>
      <c r="N100" s="22" t="n">
        <f aca="false">(L100-80000000)/80000000</f>
        <v>-0.6477125</v>
      </c>
      <c r="P100" s="38" t="s">
        <v>39</v>
      </c>
    </row>
    <row r="101" customFormat="false" ht="15" hidden="false" customHeight="false" outlineLevel="0" collapsed="false">
      <c r="A101" s="32"/>
      <c r="B101" s="33"/>
      <c r="C101" s="32" t="n">
        <v>5</v>
      </c>
      <c r="D101" s="32" t="n">
        <v>5072212</v>
      </c>
      <c r="E101" s="32" t="n">
        <v>4121</v>
      </c>
      <c r="F101" s="34" t="n">
        <f aca="false">D101/E101*1000</f>
        <v>1230820.67459355</v>
      </c>
      <c r="G101" s="23" t="n">
        <f aca="false">(E97-E101)/E97</f>
        <v>0.237275587636498</v>
      </c>
      <c r="H101" s="14" t="n">
        <f aca="false">(F101-80000000)/80000000</f>
        <v>-0.984614741567581</v>
      </c>
      <c r="I101" s="32" t="n">
        <v>5</v>
      </c>
      <c r="J101" s="34" t="n">
        <v>4880523</v>
      </c>
      <c r="K101" s="32" t="n">
        <v>145</v>
      </c>
      <c r="L101" s="34" t="n">
        <f aca="false">J101/K101*1000</f>
        <v>33658779.3103448</v>
      </c>
      <c r="M101" s="37" t="n">
        <f aca="false">(K97-K101)/K97</f>
        <v>0.147058823529412</v>
      </c>
      <c r="N101" s="14" t="n">
        <f aca="false">(L101-80000000)/80000000</f>
        <v>-0.57926525862069</v>
      </c>
    </row>
    <row r="102" customFormat="false" ht="15" hidden="false" customHeight="false" outlineLevel="0" collapsed="false">
      <c r="A102" s="32"/>
      <c r="B102" s="33"/>
      <c r="C102" s="32"/>
      <c r="D102" s="32"/>
      <c r="E102" s="32"/>
      <c r="F102" s="32"/>
      <c r="G102" s="32"/>
      <c r="H102" s="33"/>
      <c r="I102" s="32" t="n">
        <v>6</v>
      </c>
      <c r="J102" s="34" t="n">
        <v>119060324</v>
      </c>
      <c r="K102" s="32" t="n">
        <v>3136</v>
      </c>
      <c r="L102" s="34" t="n">
        <f aca="false">J102/K102*1000</f>
        <v>37965664.5408163</v>
      </c>
      <c r="M102" s="23" t="n">
        <f aca="false">(K98-K102)/K98</f>
        <v>0.269848661233993</v>
      </c>
      <c r="N102" s="14" t="n">
        <f aca="false">(L102-80000000)/80000000</f>
        <v>-0.525429193239796</v>
      </c>
    </row>
    <row r="103" customFormat="false" ht="15" hidden="false" customHeight="false" outlineLevel="0" collapsed="false">
      <c r="A103" s="32"/>
      <c r="B103" s="33"/>
      <c r="C103" s="32"/>
      <c r="D103" s="32"/>
      <c r="E103" s="32"/>
      <c r="F103" s="32"/>
      <c r="G103" s="32"/>
      <c r="H103" s="33"/>
      <c r="I103" s="32" t="n">
        <v>7</v>
      </c>
      <c r="J103" s="34" t="n">
        <v>3195901860</v>
      </c>
      <c r="K103" s="32" t="n">
        <v>69384</v>
      </c>
      <c r="L103" s="34" t="n">
        <f aca="false">J103/K103*1000</f>
        <v>46061078.3465929</v>
      </c>
      <c r="M103" s="32"/>
      <c r="N103" s="25" t="n">
        <f aca="false">(L103-80000000)/80000000</f>
        <v>-0.424236520667589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523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9" t="n">
        <v>45393</v>
      </c>
      <c r="B1" s="7" t="s">
        <v>40</v>
      </c>
      <c r="C1" s="7" t="s">
        <v>41</v>
      </c>
      <c r="D1" s="7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2026-01-18T20:51:24Z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